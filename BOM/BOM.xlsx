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abdul\Documents\Altium\3D-Display\BOM\"/>
    </mc:Choice>
  </mc:AlternateContent>
  <xr:revisionPtr revIDLastSave="0" documentId="13_ncr:1_{A10330E0-592F-4F79-8972-688BCFB0D2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estellliste" sheetId="3" r:id="rId1"/>
    <sheet name="Übliche Händler" sheetId="5" r:id="rId2"/>
    <sheet name="Beispiel" sheetId="7" r:id="rId3"/>
    <sheet name="Beschreibung-Spalten" sheetId="6" r:id="rId4"/>
  </sheets>
  <definedNames>
    <definedName name="_xlnm._FilterDatabase" localSheetId="2" hidden="1">Beispiel!$B$3:$O$7</definedName>
    <definedName name="_xlnm._FilterDatabase" localSheetId="0" hidden="1">Bestellliste!$B$3:$O$4</definedName>
    <definedName name="_xlnm._FilterDatabase" localSheetId="1" hidden="1">'Übliche Händler'!$B$3:$F$47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3" l="1"/>
  <c r="K40" i="3"/>
  <c r="L40" i="3"/>
  <c r="I75" i="3"/>
  <c r="K75" i="3" s="1"/>
  <c r="L75" i="3"/>
  <c r="I74" i="3"/>
  <c r="K74" i="3" s="1"/>
  <c r="L74" i="3"/>
  <c r="L34" i="3"/>
  <c r="L35" i="3"/>
  <c r="L36" i="3"/>
  <c r="L37" i="3"/>
  <c r="L38" i="3"/>
  <c r="L39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K48" i="3"/>
  <c r="I34" i="3"/>
  <c r="K34" i="3" s="1"/>
  <c r="I35" i="3"/>
  <c r="K35" i="3" s="1"/>
  <c r="I36" i="3"/>
  <c r="K36" i="3" s="1"/>
  <c r="I37" i="3"/>
  <c r="K37" i="3" s="1"/>
  <c r="I38" i="3"/>
  <c r="K38" i="3" s="1"/>
  <c r="I39" i="3"/>
  <c r="K39" i="3" s="1"/>
  <c r="I42" i="3"/>
  <c r="K42" i="3" s="1"/>
  <c r="I43" i="3"/>
  <c r="K43" i="3" s="1"/>
  <c r="I44" i="3"/>
  <c r="K44" i="3" s="1"/>
  <c r="I45" i="3"/>
  <c r="K45" i="3" s="1"/>
  <c r="I46" i="3"/>
  <c r="K46" i="3" s="1"/>
  <c r="I47" i="3"/>
  <c r="K47" i="3" s="1"/>
  <c r="I48" i="3"/>
  <c r="I49" i="3"/>
  <c r="K49" i="3" s="1"/>
  <c r="I50" i="3"/>
  <c r="K50" i="3" s="1"/>
  <c r="I51" i="3"/>
  <c r="K51" i="3" s="1"/>
  <c r="I52" i="3"/>
  <c r="K52" i="3" s="1"/>
  <c r="I53" i="3"/>
  <c r="K53" i="3" s="1"/>
  <c r="I54" i="3"/>
  <c r="K54" i="3" s="1"/>
  <c r="I55" i="3"/>
  <c r="K55" i="3" s="1"/>
  <c r="I56" i="3"/>
  <c r="K56" i="3" s="1"/>
  <c r="I57" i="3"/>
  <c r="K57" i="3" s="1"/>
  <c r="I58" i="3"/>
  <c r="K58" i="3" s="1"/>
  <c r="I59" i="3"/>
  <c r="K59" i="3" s="1"/>
  <c r="I60" i="3"/>
  <c r="K60" i="3" s="1"/>
  <c r="I61" i="3"/>
  <c r="K61" i="3" s="1"/>
  <c r="I62" i="3"/>
  <c r="K62" i="3" s="1"/>
  <c r="I63" i="3"/>
  <c r="K63" i="3" s="1"/>
  <c r="I64" i="3"/>
  <c r="K64" i="3" s="1"/>
  <c r="I65" i="3"/>
  <c r="K65" i="3" s="1"/>
  <c r="I66" i="3"/>
  <c r="K66" i="3" s="1"/>
  <c r="I67" i="3"/>
  <c r="K67" i="3" s="1"/>
  <c r="I68" i="3"/>
  <c r="K68" i="3" s="1"/>
  <c r="I69" i="3"/>
  <c r="K69" i="3" s="1"/>
  <c r="I70" i="3"/>
  <c r="K70" i="3" s="1"/>
  <c r="I71" i="3"/>
  <c r="K71" i="3" s="1"/>
  <c r="I72" i="3"/>
  <c r="K72" i="3" s="1"/>
  <c r="I73" i="3"/>
  <c r="K73" i="3" s="1"/>
  <c r="I33" i="3"/>
  <c r="K33" i="3" s="1"/>
  <c r="L33" i="3"/>
  <c r="L32" i="3"/>
  <c r="I32" i="3"/>
  <c r="K32" i="3" s="1"/>
  <c r="I31" i="3"/>
  <c r="K31" i="3" s="1"/>
  <c r="L31" i="3"/>
  <c r="L30" i="3"/>
  <c r="I30" i="3"/>
  <c r="K30" i="3" s="1"/>
  <c r="I29" i="3"/>
  <c r="K29" i="3" s="1"/>
  <c r="L29" i="3"/>
  <c r="L28" i="3"/>
  <c r="I28" i="3"/>
  <c r="K28" i="3" s="1"/>
  <c r="L5" i="3"/>
  <c r="L6" i="3"/>
  <c r="L7" i="3"/>
  <c r="L8" i="3"/>
  <c r="L9" i="3"/>
  <c r="L10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4" i="3"/>
  <c r="I5" i="3"/>
  <c r="K5" i="3" s="1"/>
  <c r="I6" i="3"/>
  <c r="K6" i="3" s="1"/>
  <c r="I7" i="3"/>
  <c r="K7" i="3" s="1"/>
  <c r="I8" i="3"/>
  <c r="K8" i="3" s="1"/>
  <c r="I9" i="3"/>
  <c r="K9" i="3" s="1"/>
  <c r="I10" i="3"/>
  <c r="K10" i="3" s="1"/>
  <c r="I12" i="3"/>
  <c r="K12" i="3" s="1"/>
  <c r="I13" i="3"/>
  <c r="K13" i="3" s="1"/>
  <c r="I14" i="3"/>
  <c r="K14" i="3" s="1"/>
  <c r="I15" i="3"/>
  <c r="K15" i="3" s="1"/>
  <c r="I16" i="3"/>
  <c r="K16" i="3" s="1"/>
  <c r="I17" i="3"/>
  <c r="K17" i="3" s="1"/>
  <c r="I18" i="3"/>
  <c r="K18" i="3" s="1"/>
  <c r="I19" i="3"/>
  <c r="K19" i="3" s="1"/>
  <c r="I20" i="3"/>
  <c r="K20" i="3" s="1"/>
  <c r="I21" i="3"/>
  <c r="K21" i="3" s="1"/>
  <c r="I22" i="3"/>
  <c r="K22" i="3" s="1"/>
  <c r="I23" i="3"/>
  <c r="K23" i="3" s="1"/>
  <c r="I24" i="3"/>
  <c r="K24" i="3" s="1"/>
  <c r="I25" i="3"/>
  <c r="K25" i="3" s="1"/>
  <c r="I26" i="3"/>
  <c r="K26" i="3" s="1"/>
  <c r="I27" i="3"/>
  <c r="K27" i="3" s="1"/>
  <c r="I4" i="3"/>
  <c r="K4" i="3" s="1"/>
  <c r="K8" i="7"/>
  <c r="L8" i="7" s="1"/>
  <c r="N7" i="7"/>
  <c r="K7" i="7"/>
  <c r="L7" i="7" s="1"/>
  <c r="N6" i="7"/>
  <c r="N10" i="7" s="1"/>
  <c r="K6" i="7"/>
  <c r="L6" i="7" s="1"/>
  <c r="K5" i="7"/>
  <c r="K4" i="7"/>
  <c r="L4" i="7" s="1"/>
  <c r="K10" i="7" l="1"/>
  <c r="L5" i="7"/>
  <c r="L10" i="7" s="1"/>
  <c r="N77" i="3" l="1"/>
  <c r="K77" i="3"/>
  <c r="L77" i="3"/>
</calcChain>
</file>

<file path=xl/sharedStrings.xml><?xml version="1.0" encoding="utf-8"?>
<sst xmlns="http://schemas.openxmlformats.org/spreadsheetml/2006/main" count="635" uniqueCount="381">
  <si>
    <t>Best.</t>
  </si>
  <si>
    <t>Gegenstand</t>
  </si>
  <si>
    <t>Händler</t>
  </si>
  <si>
    <t>Artikelnummer</t>
  </si>
  <si>
    <t>Link</t>
  </si>
  <si>
    <t>Anzahl</t>
  </si>
  <si>
    <t>Länge in m</t>
  </si>
  <si>
    <t>Brutto pro VE</t>
  </si>
  <si>
    <t>Netto pro VE</t>
  </si>
  <si>
    <t>Brutto ges.</t>
  </si>
  <si>
    <t>Netto ges.</t>
  </si>
  <si>
    <t>kg/m</t>
  </si>
  <si>
    <t>Masse in kg</t>
  </si>
  <si>
    <t>Notiz</t>
  </si>
  <si>
    <t>Summe</t>
  </si>
  <si>
    <t>Beschreibung</t>
  </si>
  <si>
    <t>Kategorie</t>
  </si>
  <si>
    <t>Alcom</t>
  </si>
  <si>
    <t>item-Profile &amp; Verbinder</t>
  </si>
  <si>
    <t>https://www.alcom-international.de/baukastensystem.html</t>
  </si>
  <si>
    <t>Mechanisch</t>
  </si>
  <si>
    <t>selbe Firma wie SMT</t>
  </si>
  <si>
    <t>Amazon</t>
  </si>
  <si>
    <t>Diverses</t>
  </si>
  <si>
    <t>https://amazon.de</t>
  </si>
  <si>
    <t>Bestellung nur möglich, wenn Händler eine ordentliche Rechnung stellen kann</t>
  </si>
  <si>
    <t>Bauhaus</t>
  </si>
  <si>
    <t>Baumarkt</t>
  </si>
  <si>
    <t>https://www.bauhaus.at/</t>
  </si>
  <si>
    <t>Bar bezahlen &amp; Spesenabrechnung</t>
  </si>
  <si>
    <t>CNCShop</t>
  </si>
  <si>
    <t>CNC-Komponenten</t>
  </si>
  <si>
    <t>https://www.cncshop.at/</t>
  </si>
  <si>
    <t>Conrad</t>
  </si>
  <si>
    <t>Elektrokomponenten</t>
  </si>
  <si>
    <t>https://www.conrad.at/</t>
  </si>
  <si>
    <t>Elektrisch</t>
  </si>
  <si>
    <t>Contorion</t>
  </si>
  <si>
    <t>Werkzeug, Betriebsausstattung, etc.</t>
  </si>
  <si>
    <t>https://www.contorion.at/</t>
  </si>
  <si>
    <t>Digikey</t>
  </si>
  <si>
    <t>https://www.digikey.at/</t>
  </si>
  <si>
    <t>Distrelec</t>
  </si>
  <si>
    <t>https://www.distrelec.at/</t>
  </si>
  <si>
    <t>DOLD Mechatronik</t>
  </si>
  <si>
    <t>item-Profile, Motoren, etc.</t>
  </si>
  <si>
    <t>https://www.dold-mechatronik.de/</t>
  </si>
  <si>
    <t>Eckstein Komponenten</t>
  </si>
  <si>
    <t>https://eckstein-shop.de/Startseite</t>
  </si>
  <si>
    <t>Elesa+Ganter</t>
  </si>
  <si>
    <t>Maschinenelemente, Normteile, etc.</t>
  </si>
  <si>
    <t>https://www.elesa-ganter.at/de/aut</t>
  </si>
  <si>
    <t>ELV Elektronik</t>
  </si>
  <si>
    <t>https://de.elv.com/</t>
  </si>
  <si>
    <t>Eurocircuits</t>
  </si>
  <si>
    <t>PCBs &amp; Bestückung</t>
  </si>
  <si>
    <t>https://www.eurocircuits.com/</t>
  </si>
  <si>
    <t>faigle Kunststoffe</t>
  </si>
  <si>
    <t>Plexiglas/PMMA</t>
  </si>
  <si>
    <t>https://www.faigle.com/en</t>
  </si>
  <si>
    <t>Fix Metall</t>
  </si>
  <si>
    <t>Fe- &amp; Nicht-Fe-Metalle, Zuschnitt</t>
  </si>
  <si>
    <t>https://www.fixmetall-shop.com/</t>
  </si>
  <si>
    <t>Funkenflug</t>
  </si>
  <si>
    <t>Laserteile</t>
  </si>
  <si>
    <t>https://www.funkenflug.co.at/</t>
  </si>
  <si>
    <t>in Kematen</t>
  </si>
  <si>
    <t>Gemmel Metalle</t>
  </si>
  <si>
    <t>https://www.gemmel-metalle.de/</t>
  </si>
  <si>
    <t>gezogene Al-Wellen</t>
  </si>
  <si>
    <t>Haberkorn</t>
  </si>
  <si>
    <t>Maschinenelemente, item-Profile, etc.</t>
  </si>
  <si>
    <t>https://www.haberkorn.com/</t>
  </si>
  <si>
    <t>Preise nur mit MCI Account sichtbar</t>
  </si>
  <si>
    <t>Hoffmann</t>
  </si>
  <si>
    <t>https://www.hoffmann-group.com/AT/de/hoa/</t>
  </si>
  <si>
    <t>IBL Sägeservice</t>
  </si>
  <si>
    <t>https://shop.ibl-raimund.de/</t>
  </si>
  <si>
    <t>Köllensperger</t>
  </si>
  <si>
    <t>Stahl, Zuschnitt</t>
  </si>
  <si>
    <t>https://www.koellensperger-stahl.at/</t>
  </si>
  <si>
    <t>Kugellager Express</t>
  </si>
  <si>
    <t>Kugellager</t>
  </si>
  <si>
    <t>https://www.kugellager-express.de/</t>
  </si>
  <si>
    <t>günstig, aber qualitativ schlechter</t>
  </si>
  <si>
    <t>maunsystem</t>
  </si>
  <si>
    <t>item-Profile &amp; Verbinder, Kunststoffplatten, etc.</t>
  </si>
  <si>
    <t>https://www.maunsystem.de/</t>
  </si>
  <si>
    <t>Metall Fachhandel</t>
  </si>
  <si>
    <t>Nicht-Fe-Metalle, Zuschnitt</t>
  </si>
  <si>
    <t>https://metall-fachhandel.de/</t>
  </si>
  <si>
    <t>Metzler</t>
  </si>
  <si>
    <t>https://www.metzler.at/</t>
  </si>
  <si>
    <t>Misumi</t>
  </si>
  <si>
    <t>https://de.misumi-ec.com</t>
  </si>
  <si>
    <t>Mouser</t>
  </si>
  <si>
    <t>https://www.mouser.at/</t>
  </si>
  <si>
    <t>norelem</t>
  </si>
  <si>
    <t>https://norelem.de/de/</t>
  </si>
  <si>
    <t>Obi</t>
  </si>
  <si>
    <t>https://www.obi.at/</t>
  </si>
  <si>
    <t>Panta-Shop</t>
  </si>
  <si>
    <t>https://www.kugellager-panta.de/home-vm</t>
  </si>
  <si>
    <t>Plexcom</t>
  </si>
  <si>
    <t>https://www.plexcom.at/</t>
  </si>
  <si>
    <t>Pointner Metallverarbeitung</t>
  </si>
  <si>
    <t>https://www.pointner.cc/#</t>
  </si>
  <si>
    <t>Schwaz</t>
  </si>
  <si>
    <t>Ragg</t>
  </si>
  <si>
    <t>https://www.ragg-stahlhandel.com/</t>
  </si>
  <si>
    <t>Reichelt</t>
  </si>
  <si>
    <t>https://www.reichelt.at/</t>
  </si>
  <si>
    <t>Robotshop</t>
  </si>
  <si>
    <t>https://eu.robotshop.com/de</t>
  </si>
  <si>
    <t>RS Components</t>
  </si>
  <si>
    <t>Elektro- &amp; Mechanische Komponenten</t>
  </si>
  <si>
    <t>https://at.rs-online.com/web/</t>
  </si>
  <si>
    <t>Vielfach Zustellung am nächsten/übernächsten Tag</t>
  </si>
  <si>
    <t>Schrauben TB</t>
  </si>
  <si>
    <t>Schrauben</t>
  </si>
  <si>
    <t>https://shop.schrauben-tb.at/</t>
  </si>
  <si>
    <t>SMT</t>
  </si>
  <si>
    <t>https://www.smt-montagetechnik.de/produkte/</t>
  </si>
  <si>
    <t>selbe Firma wie Alcom</t>
  </si>
  <si>
    <t>S-Polytec</t>
  </si>
  <si>
    <t>Kunststoffplatten</t>
  </si>
  <si>
    <t>https://www.s-polytec.de/</t>
  </si>
  <si>
    <t>Stasto</t>
  </si>
  <si>
    <t>Pneumatik &amp; Hydraulik Zubehör</t>
  </si>
  <si>
    <t>https://www.stasto.eu/</t>
  </si>
  <si>
    <t>Top Maschinen</t>
  </si>
  <si>
    <t>Maschinen</t>
  </si>
  <si>
    <t>https://www.top-maschinen.de/</t>
  </si>
  <si>
    <t>WDS Components</t>
  </si>
  <si>
    <t>https://www.wdscomponents.com/de</t>
  </si>
  <si>
    <t>aus UK</t>
  </si>
  <si>
    <t>Werkzeugprofi Köchl</t>
  </si>
  <si>
    <t>Fräs-/Drehwerkzeuge</t>
  </si>
  <si>
    <t>https://www.werkzeug-profi.at/</t>
  </si>
  <si>
    <t>in Birgitz</t>
  </si>
  <si>
    <t>Würth</t>
  </si>
  <si>
    <t>Betriebsaustattung, Maschinenelemente, etc.</t>
  </si>
  <si>
    <t>https://eshop.wuerth.at/de/DE/EUR/</t>
  </si>
  <si>
    <t>Mutter aus Onlineshop, Tochter über Angebot</t>
  </si>
  <si>
    <t>RFM</t>
  </si>
  <si>
    <t>Pt100 4-Leiter</t>
  </si>
  <si>
    <t>1579097 - 62</t>
  </si>
  <si>
    <t>https://www.conrad.at/de/p/sontec-tt6-045-a-a-4l-s-2-0-ade-pt100-temperaturfuehler-40-bis-180-c-1579097.html</t>
  </si>
  <si>
    <t>Cuttermesser</t>
  </si>
  <si>
    <t>1339848 - 62</t>
  </si>
  <si>
    <t>https://www.conrad.at/de/p/cuttermesser-c-k-t0951-1-st-1339848.html</t>
  </si>
  <si>
    <t>MÄW</t>
  </si>
  <si>
    <t>Aluprofil 8 80x40 schwer</t>
  </si>
  <si>
    <t>Z12685</t>
  </si>
  <si>
    <t>https://www.haberkorn.com/item-profilsysteme/mb-systembaukasten/profile-und-zubehoer/konstruktionsprofil/1093819-konstruktionsprofil-8-rastermass-40-mm?partNumber=Z12685</t>
  </si>
  <si>
    <t>BFD</t>
  </si>
  <si>
    <t>Cap 0603 10V 3900p</t>
  </si>
  <si>
    <t>581-06035C392K</t>
  </si>
  <si>
    <t>https://mou.sr/3H4Pt14</t>
  </si>
  <si>
    <t>1 Stk pro PCB</t>
  </si>
  <si>
    <t>Spalte</t>
  </si>
  <si>
    <t>Name</t>
  </si>
  <si>
    <t>Kürzel des Projektes für das die Bestellung getätigt wird.
z.B.: SDL für allgemeines für das Labor, etc.</t>
  </si>
  <si>
    <t>Beschreibung des Produktes</t>
  </si>
  <si>
    <t>Name des Händlers</t>
  </si>
  <si>
    <t>genaue Artikelnummer des Produktes beim ausgewählten Händler</t>
  </si>
  <si>
    <t>Direkter Link zum Produkt auf der Homepage des Händlers</t>
  </si>
  <si>
    <t>Anzahl an Verkaufseinheiten (VE) die bezogen werden sollen</t>
  </si>
  <si>
    <t>Bei Zuschnittsware Länge in m pro Stk.</t>
  </si>
  <si>
    <t>Bruttopreis pro VE --&gt; wenn in dieser Spalte ein Wert eingetragen wird,
so berechnet sich automatisch der Nettopreis pro VE</t>
  </si>
  <si>
    <t>Nettopreis pro VE --&gt; wenn in dieser Spalte ein Wert eingetragen wird,
so berechnet sich automatisch der Bruttopreis pro VE</t>
  </si>
  <si>
    <t>Gesamtbruttopreis berechnet aus Anzahl/Länge und Brutto pro VE</t>
  </si>
  <si>
    <t>Gesamtnettopreis berechnet aus Gesamtbruttopreis</t>
  </si>
  <si>
    <t>Hilfsspalte für Zuschnitte um Gesamtmasse zu berechnen</t>
  </si>
  <si>
    <t>Hilfsspalte für Masse in kg
Hilfreich um Versandkosten o.Ä. überschlagen zu können</t>
  </si>
  <si>
    <t>CAP CER 4.7UF 16V X5R 0603</t>
  </si>
  <si>
    <t>CAP CER 1UF 16V X5R 0603</t>
  </si>
  <si>
    <t>Connector</t>
  </si>
  <si>
    <t>RES 13.7K OHM 1/8W .1% SMD 0805</t>
  </si>
  <si>
    <t>CAP CER  0.1UF 25V X7R 0603</t>
  </si>
  <si>
    <t>CAP  CER 22UF 16V X7R 1210</t>
  </si>
  <si>
    <t>CAP  CER 0.1UF 50V Z5U 0805</t>
  </si>
  <si>
    <t>LED Red, 75 mW</t>
  </si>
  <si>
    <t>Ultra Bright AlInGaP Chip LED, 75 mW</t>
  </si>
  <si>
    <t>595-LMR51430XFDDCR</t>
  </si>
  <si>
    <t>mouser</t>
  </si>
  <si>
    <t>IC - Buck Converter</t>
  </si>
  <si>
    <t>https://mou.sr/3SPacQ5</t>
  </si>
  <si>
    <t>Phoenix Connector</t>
  </si>
  <si>
    <t>651-1711026</t>
  </si>
  <si>
    <t>https://mou.sr/4fv8yLh</t>
  </si>
  <si>
    <t>651-1725669</t>
  </si>
  <si>
    <t>https://mou.sr/4goMbJn</t>
  </si>
  <si>
    <t>STM32F091CCT6</t>
  </si>
  <si>
    <t>511-STM32F091CCT6</t>
  </si>
  <si>
    <t>https://mou.sr/4h40gMs</t>
  </si>
  <si>
    <t>Inductor 3.3uH</t>
  </si>
  <si>
    <t>Inductor  2.2uH</t>
  </si>
  <si>
    <t>673-PA4340.332NLT</t>
  </si>
  <si>
    <t>https://mou.sr/4fr2AvR</t>
  </si>
  <si>
    <t>70-IHLP2020CZER2R2M1</t>
  </si>
  <si>
    <t>https://mou.sr/4yk0IN5</t>
  </si>
  <si>
    <t>859-LTST-C170KRKT</t>
  </si>
  <si>
    <t>https://mou.sr/4ybxNKT</t>
  </si>
  <si>
    <t>859-LTST-C170KGKT</t>
  </si>
  <si>
    <t>https://mou.sr/4vlM9ps</t>
  </si>
  <si>
    <t>SWD-Header</t>
  </si>
  <si>
    <t>710-62701420621</t>
  </si>
  <si>
    <t>https://mou.sr/4p7MfiQ</t>
  </si>
  <si>
    <t>80-C0805C104M5U</t>
  </si>
  <si>
    <t>https://mou.sr/3STz6Ov</t>
  </si>
  <si>
    <t>80-C1210C226K4RACTU</t>
  </si>
  <si>
    <t>https://mou.sr/3R3EsGo</t>
  </si>
  <si>
    <t>603-CC603KRX7R8BB104</t>
  </si>
  <si>
    <t>https://mou.sr/4f2gK6J</t>
  </si>
  <si>
    <t>603-CC603KRX5R7BB475</t>
  </si>
  <si>
    <t>https://mou.sr/4wDEkN4</t>
  </si>
  <si>
    <t>603-CC603KRX5R7BB105</t>
  </si>
  <si>
    <t>https://mou.sr/3SU8ugf</t>
  </si>
  <si>
    <t>Bootloader Header</t>
  </si>
  <si>
    <t>200-TMM10301LSSM</t>
  </si>
  <si>
    <t>https://mou.sr/4eTqvUE</t>
  </si>
  <si>
    <t>Phoenix Connector 24 A</t>
  </si>
  <si>
    <t>https://mou.sr/4gNi5j5</t>
  </si>
  <si>
    <t>77-VJ0603Y103KXJAC</t>
  </si>
  <si>
    <t>CAP CER 0.01uF</t>
  </si>
  <si>
    <t>CAP CER 2.2uF</t>
  </si>
  <si>
    <t>https://mou.sr/44TVKJe</t>
  </si>
  <si>
    <t>603-CC1210KKX7R8BB22</t>
  </si>
  <si>
    <t xml:space="preserve">Res 100KΩ 0805 </t>
  </si>
  <si>
    <t>https://mou.sr/3SR5DVs</t>
  </si>
  <si>
    <t>279-RQ73C2A100KBTD</t>
  </si>
  <si>
    <t>RES 22.1K  0805</t>
  </si>
  <si>
    <t>Volumetrisches Display</t>
  </si>
  <si>
    <t>603-RT0805BRD0722K1L</t>
  </si>
  <si>
    <t>https://mou.sr/4wCxbwr</t>
  </si>
  <si>
    <t>603-RT0805BRD0713K7L</t>
  </si>
  <si>
    <t>https://mou.sr/4gNjHJF</t>
  </si>
  <si>
    <t>688-RK09L1140A2U</t>
  </si>
  <si>
    <t>https://mou.sr/3Rs3jnp</t>
  </si>
  <si>
    <t>Potentiometer</t>
  </si>
  <si>
    <t>RES 1k 0805</t>
  </si>
  <si>
    <t>279-CRGCQ0805F1K0</t>
  </si>
  <si>
    <t>https://mou.sr/4f8dp4Q</t>
  </si>
  <si>
    <t>RES 10k 0805</t>
  </si>
  <si>
    <t>279-CRGCQ0805J10K</t>
  </si>
  <si>
    <t>https://mou.sr/3Rp9A3e</t>
  </si>
  <si>
    <t>80-C0805C104J8R</t>
  </si>
  <si>
    <t>https://mou.sr/4b4yADJ</t>
  </si>
  <si>
    <t>CAP CER 100nF 0805</t>
  </si>
  <si>
    <t>179-TB0011-350-08BE</t>
  </si>
  <si>
    <t>https://mou.sr/3RnVnDE</t>
  </si>
  <si>
    <t>Fester Anschlussblock 8 Polig</t>
  </si>
  <si>
    <t>HC-608-ZZ-TN-CN-ZV2-P6-GS</t>
  </si>
  <si>
    <t>kcexpress</t>
  </si>
  <si>
    <t>High Speed Kugellager</t>
  </si>
  <si>
    <t>https://www.kugellager-express.de/hybrid-praezisions-miniatur-kugellager-hc-608-zz-tn-cn-zv2-p6-gs-mm</t>
  </si>
  <si>
    <t>auf Rechnung möglich</t>
  </si>
  <si>
    <t>https://mou.sr/4wyCm06</t>
  </si>
  <si>
    <t>Spacer</t>
  </si>
  <si>
    <t>728-FC2311-2520-A</t>
  </si>
  <si>
    <t>VDPM</t>
  </si>
  <si>
    <t>VDPL</t>
  </si>
  <si>
    <t>VDPG</t>
  </si>
  <si>
    <t>VPDM</t>
  </si>
  <si>
    <t>VDPH</t>
  </si>
  <si>
    <t>Hallsensor</t>
  </si>
  <si>
    <t>595-MAG5170A2EDGKRQ1</t>
  </si>
  <si>
    <t>https://mou.sr/4vYiBPX</t>
  </si>
  <si>
    <t>77-VJ0805Y104JXXPBC</t>
  </si>
  <si>
    <t>https://mou.sr/3SVcb5s</t>
  </si>
  <si>
    <t>80-C0805C475K3RAUTO</t>
  </si>
  <si>
    <t>https://mou.sr/4vuBBo7</t>
  </si>
  <si>
    <t>CAP CER 4,7nF 0805</t>
  </si>
  <si>
    <t>603-CC805KKX7R5BB105</t>
  </si>
  <si>
    <t>CAP CER 1uF 0805</t>
  </si>
  <si>
    <t>https://mou.sr/3RzsAfr</t>
  </si>
  <si>
    <t>603-AC805KRX7R0BB103</t>
  </si>
  <si>
    <t>https://mou.sr/4pil6tK</t>
  </si>
  <si>
    <t>CAP CER 10nF 0805</t>
  </si>
  <si>
    <t>581-0805ZC106KAT2A</t>
  </si>
  <si>
    <t>https://mou.sr/44ZwIIE</t>
  </si>
  <si>
    <t>CAP CER 10uF 0805</t>
  </si>
  <si>
    <t>CAP CER 470nF 0805</t>
  </si>
  <si>
    <t>80-C0805C474J3RAUTO</t>
  </si>
  <si>
    <t>https://mou.sr/4vX50bj</t>
  </si>
  <si>
    <t>https://mou.sr/4fgtJR1</t>
  </si>
  <si>
    <t>https://mou.sr/4bgyqZO</t>
  </si>
  <si>
    <t>810-CGA4J2X7R1C105KD</t>
  </si>
  <si>
    <t>https://mou.sr/4f9QXrI</t>
  </si>
  <si>
    <t>CAP CER 1uF</t>
  </si>
  <si>
    <t>81-KRM55QR71E336KH1L</t>
  </si>
  <si>
    <t>Cap Ceramic 33uF 25V X7R</t>
  </si>
  <si>
    <t>https://mou.sr/4ymUcoS</t>
  </si>
  <si>
    <t>80-C1206C473K5H</t>
  </si>
  <si>
    <t>https://mou.sr/4vuCLQv</t>
  </si>
  <si>
    <t>CAP Cer 47nF</t>
  </si>
  <si>
    <t>771-74AHCT245APWJ</t>
  </si>
  <si>
    <t>https://mou.sr/4vsnobd</t>
  </si>
  <si>
    <t>Bustransceiver</t>
  </si>
  <si>
    <t>700-MAX17320G20+</t>
  </si>
  <si>
    <t>BatteryManagement</t>
  </si>
  <si>
    <t>https://mou.sr/3SVeaGW</t>
  </si>
  <si>
    <t>512-FDC608PZ</t>
  </si>
  <si>
    <t>Mosfet P-Channel</t>
  </si>
  <si>
    <t>https://mou.sr/4feU6Xy</t>
  </si>
  <si>
    <t>Sockel</t>
  </si>
  <si>
    <t>https://mou.sr/4wGJvvF</t>
  </si>
  <si>
    <t>https://mou.sr/4bBXdHM</t>
  </si>
  <si>
    <t>SD-Kartenleser</t>
  </si>
  <si>
    <t>179-MSD-5-A</t>
  </si>
  <si>
    <t>https://mou.sr/4bAGjJC</t>
  </si>
  <si>
    <t>710-629722000214</t>
  </si>
  <si>
    <t>https://mou.sr/3R1WMzH</t>
  </si>
  <si>
    <t>USB-C Socket</t>
  </si>
  <si>
    <t>710-74479332257210</t>
  </si>
  <si>
    <t>https://mou.sr/4fgvHkt</t>
  </si>
  <si>
    <t>Spule 1uH</t>
  </si>
  <si>
    <t>720-LGR971-KN-1</t>
  </si>
  <si>
    <t>https://mou.sr/44on16s</t>
  </si>
  <si>
    <t>LED</t>
  </si>
  <si>
    <t>726-IRF7313TRPBFXTMA</t>
  </si>
  <si>
    <t>https://mou.sr/4vYljVD</t>
  </si>
  <si>
    <t>Mosfet N-Channel</t>
  </si>
  <si>
    <t>71-PCAN0805E1001BST5</t>
  </si>
  <si>
    <t>https://mou.sr/44oh75q</t>
  </si>
  <si>
    <t>https://mou.sr/4ylH4QQ</t>
  </si>
  <si>
    <t>279-CRGP1206F47R</t>
  </si>
  <si>
    <t>Res 47R Dickfilm</t>
  </si>
  <si>
    <t>https://mou.sr/4vsouUn</t>
  </si>
  <si>
    <t>https://mou.sr/3TfI8FD</t>
  </si>
  <si>
    <t>Res 22k1</t>
  </si>
  <si>
    <t>660-RN73R2ATD1000B25</t>
  </si>
  <si>
    <t>https://mou.sr/4wApiau</t>
  </si>
  <si>
    <t xml:space="preserve">Res 100Ω 0805 </t>
  </si>
  <si>
    <t>708-RMCF0805JT560R</t>
  </si>
  <si>
    <t>https://mou.sr/4fvOZU1</t>
  </si>
  <si>
    <t>Res 560R 0805</t>
  </si>
  <si>
    <t>660-RK73H2ATTDD1503F</t>
  </si>
  <si>
    <t>https://mou.sr/4pinNLS</t>
  </si>
  <si>
    <t>Res 150k 0805</t>
  </si>
  <si>
    <t>279-RP73PF2A5K23BTDF</t>
  </si>
  <si>
    <t>https://mou.sr/44Ybivy</t>
  </si>
  <si>
    <t>Res 5k23 0805</t>
  </si>
  <si>
    <t>603-RC0805FR-075K76L</t>
  </si>
  <si>
    <t>https://mou.sr/3Teegtb</t>
  </si>
  <si>
    <t>Res 5k76 0805</t>
  </si>
  <si>
    <t>954-103AT-2</t>
  </si>
  <si>
    <t>https://mou.sr/4vZiUty</t>
  </si>
  <si>
    <t>Thermresistoren NTC</t>
  </si>
  <si>
    <t>594-MCU08050D3012BP1</t>
  </si>
  <si>
    <t>https://mou.sr/4ygmhOh</t>
  </si>
  <si>
    <t>Res 30k1 0805</t>
  </si>
  <si>
    <t>https://mou.sr/4pdbdxg</t>
  </si>
  <si>
    <t>Res 13k7 0805</t>
  </si>
  <si>
    <t>603-RC0805FR-07383RL</t>
  </si>
  <si>
    <t>https://mou.sr/4h84vGX</t>
  </si>
  <si>
    <t>Res 383R 0805 Dickmann</t>
  </si>
  <si>
    <t>603-AC0805JR-075K1L</t>
  </si>
  <si>
    <t>https://mou.sr/3QStgfM</t>
  </si>
  <si>
    <t>Res 5k1 0805</t>
  </si>
  <si>
    <t>603-RC0805JR-134K7L</t>
  </si>
  <si>
    <t>https://mou.sr/4pdFpbI</t>
  </si>
  <si>
    <t>Res 4k7 0805</t>
  </si>
  <si>
    <t>Switch</t>
  </si>
  <si>
    <t>229-CFS-0102TA</t>
  </si>
  <si>
    <t>https://mou.sr/4wH3bzu</t>
  </si>
  <si>
    <t>511-STM32G431CBT6</t>
  </si>
  <si>
    <t>https://mou.sr/4w5ykgc</t>
  </si>
  <si>
    <t>STM32G431CBT6</t>
  </si>
  <si>
    <t>595-BQ25886RGER</t>
  </si>
  <si>
    <t>https://mou.sr/4aMSoeD</t>
  </si>
  <si>
    <t xml:space="preserve">Boost Battery </t>
  </si>
  <si>
    <t>conrad</t>
  </si>
  <si>
    <t>740197 - UP</t>
  </si>
  <si>
    <t>https://www.conrad.at/de/p/jst-einbau-stiftleiste-standard-ph-polzahl-gesamt-2-rastermass-2-mm-s2b-ph-k-s-lf-sn-1-st-740197.html?srsltid=AfmBOooo9BOmWD_uhxWb4a2mY14-Qu3-5fNR4kmU1FAuQtNaVtE351Be</t>
  </si>
  <si>
    <t>71-WSHP28185L000FEA</t>
  </si>
  <si>
    <t>https://mou.sr/4wXNu7h</t>
  </si>
  <si>
    <t>Strommesswiderstand</t>
  </si>
  <si>
    <t>https://mou.sr/4hMsGJZ</t>
  </si>
  <si>
    <t>80-C0805C106K8P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</si>
</sst>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[$€-2]\ #,##0.00;[Red]\-[$€-2]\ #,##0.00"/>
    <numFmt numFmtId="166" formatCode="0.0\ &quot;kg&quot;"/>
    <numFmt numFmtId="167" formatCode="_-* #,##0.0000\ &quot;€&quot;_-;\-* #,##0.00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rgb="FF111111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0" xfId="1" applyFont="1"/>
    <xf numFmtId="164" fontId="0" fillId="0" borderId="1" xfId="1" applyFont="1" applyBorder="1"/>
    <xf numFmtId="164" fontId="2" fillId="0" borderId="0" xfId="1" applyFont="1"/>
    <xf numFmtId="0" fontId="3" fillId="0" borderId="1" xfId="2" applyBorder="1"/>
    <xf numFmtId="0" fontId="3" fillId="0" borderId="0" xfId="2" applyBorder="1"/>
    <xf numFmtId="164" fontId="0" fillId="0" borderId="0" xfId="1" applyFont="1" applyBorder="1"/>
    <xf numFmtId="165" fontId="0" fillId="0" borderId="0" xfId="0" applyNumberFormat="1"/>
    <xf numFmtId="0" fontId="2" fillId="0" borderId="0" xfId="0" applyFont="1"/>
    <xf numFmtId="0" fontId="4" fillId="0" borderId="0" xfId="0" applyFont="1" applyAlignment="1">
      <alignment vertical="center" wrapText="1"/>
    </xf>
    <xf numFmtId="0" fontId="0" fillId="0" borderId="1" xfId="1" applyNumberFormat="1" applyFont="1" applyBorder="1"/>
    <xf numFmtId="0" fontId="3" fillId="0" borderId="0" xfId="2" applyFill="1"/>
    <xf numFmtId="164" fontId="0" fillId="0" borderId="0" xfId="1" applyFont="1" applyFill="1"/>
    <xf numFmtId="2" fontId="0" fillId="0" borderId="0" xfId="1" applyNumberFormat="1" applyFont="1" applyFill="1"/>
    <xf numFmtId="0" fontId="0" fillId="0" borderId="0" xfId="1" applyNumberFormat="1" applyFont="1" applyFill="1"/>
    <xf numFmtId="166" fontId="2" fillId="0" borderId="0" xfId="1" applyNumberFormat="1" applyFont="1"/>
    <xf numFmtId="49" fontId="0" fillId="0" borderId="0" xfId="0" applyNumberFormat="1"/>
    <xf numFmtId="0" fontId="3" fillId="0" borderId="0" xfId="2"/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7" fontId="0" fillId="0" borderId="0" xfId="1" applyNumberFormat="1" applyFont="1" applyFill="1"/>
    <xf numFmtId="164" fontId="0" fillId="0" borderId="1" xfId="1" applyFont="1" applyFill="1" applyBorder="1"/>
    <xf numFmtId="167" fontId="0" fillId="0" borderId="1" xfId="1" applyNumberFormat="1" applyFont="1" applyFill="1" applyBorder="1"/>
    <xf numFmtId="0" fontId="0" fillId="0" borderId="0" xfId="0" quotePrefix="1"/>
    <xf numFmtId="0" fontId="5" fillId="0" borderId="0" xfId="0" applyFont="1"/>
    <xf numFmtId="0" fontId="3" fillId="0" borderId="0" xfId="2" applyAlignment="1">
      <alignment horizontal="left"/>
    </xf>
    <xf numFmtId="0" fontId="0" fillId="0" borderId="4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3" fillId="4" borderId="0" xfId="2" applyFill="1"/>
    <xf numFmtId="164" fontId="0" fillId="4" borderId="0" xfId="1" applyFont="1" applyFill="1"/>
    <xf numFmtId="167" fontId="0" fillId="4" borderId="0" xfId="1" applyNumberFormat="1" applyFont="1" applyFill="1"/>
    <xf numFmtId="0" fontId="6" fillId="4" borderId="0" xfId="0" applyFont="1" applyFill="1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u.sr/3Teegtb" TargetMode="External"/><Relationship Id="rId3" Type="http://schemas.openxmlformats.org/officeDocument/2006/relationships/hyperlink" Target="https://mou.sr/3Rp9A3e" TargetMode="External"/><Relationship Id="rId7" Type="http://schemas.openxmlformats.org/officeDocument/2006/relationships/hyperlink" Target="https://mou.sr/4wyCm06" TargetMode="External"/><Relationship Id="rId2" Type="http://schemas.openxmlformats.org/officeDocument/2006/relationships/hyperlink" Target="https://mou.sr/4f8dp4Q" TargetMode="External"/><Relationship Id="rId1" Type="http://schemas.openxmlformats.org/officeDocument/2006/relationships/hyperlink" Target="https://mou.sr/4fv8yLh" TargetMode="External"/><Relationship Id="rId6" Type="http://schemas.openxmlformats.org/officeDocument/2006/relationships/hyperlink" Target="https://mou.sr/4wDEkN4" TargetMode="External"/><Relationship Id="rId5" Type="http://schemas.openxmlformats.org/officeDocument/2006/relationships/hyperlink" Target="https://mou.sr/4yk0IN5" TargetMode="External"/><Relationship Id="rId4" Type="http://schemas.openxmlformats.org/officeDocument/2006/relationships/hyperlink" Target="https://mou.sr/4gNjHJF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at/" TargetMode="External"/><Relationship Id="rId18" Type="http://schemas.openxmlformats.org/officeDocument/2006/relationships/hyperlink" Target="https://www.metzler.at/" TargetMode="External"/><Relationship Id="rId26" Type="http://schemas.openxmlformats.org/officeDocument/2006/relationships/hyperlink" Target="https://www.stasto.eu/" TargetMode="External"/><Relationship Id="rId39" Type="http://schemas.openxmlformats.org/officeDocument/2006/relationships/hyperlink" Target="https://www.cncshop.at/" TargetMode="External"/><Relationship Id="rId21" Type="http://schemas.openxmlformats.org/officeDocument/2006/relationships/hyperlink" Target="https://www.faigle.com/en" TargetMode="External"/><Relationship Id="rId34" Type="http://schemas.openxmlformats.org/officeDocument/2006/relationships/hyperlink" Target="https://www.pointner.cc/" TargetMode="External"/><Relationship Id="rId42" Type="http://schemas.openxmlformats.org/officeDocument/2006/relationships/hyperlink" Target="https://www.obi.at/" TargetMode="External"/><Relationship Id="rId7" Type="http://schemas.openxmlformats.org/officeDocument/2006/relationships/hyperlink" Target="https://www.alcom-international.de/baukastensystem.html" TargetMode="External"/><Relationship Id="rId2" Type="http://schemas.openxmlformats.org/officeDocument/2006/relationships/hyperlink" Target="https://www.fixmetall-shop.com/" TargetMode="External"/><Relationship Id="rId16" Type="http://schemas.openxmlformats.org/officeDocument/2006/relationships/hyperlink" Target="https://at.rs-online.com/web/" TargetMode="External"/><Relationship Id="rId20" Type="http://schemas.openxmlformats.org/officeDocument/2006/relationships/hyperlink" Target="https://www.plexcom.at/" TargetMode="External"/><Relationship Id="rId29" Type="http://schemas.openxmlformats.org/officeDocument/2006/relationships/hyperlink" Target="https://www.maunsystem.de/" TargetMode="External"/><Relationship Id="rId41" Type="http://schemas.openxmlformats.org/officeDocument/2006/relationships/hyperlink" Target="https://www.top-maschinen.de/" TargetMode="External"/><Relationship Id="rId1" Type="http://schemas.openxmlformats.org/officeDocument/2006/relationships/hyperlink" Target="https://www.contorion.at/" TargetMode="External"/><Relationship Id="rId6" Type="http://schemas.openxmlformats.org/officeDocument/2006/relationships/hyperlink" Target="https://www.smt-montagetechnik.de/produkte/" TargetMode="External"/><Relationship Id="rId11" Type="http://schemas.openxmlformats.org/officeDocument/2006/relationships/hyperlink" Target="https://amazon.de/" TargetMode="External"/><Relationship Id="rId24" Type="http://schemas.openxmlformats.org/officeDocument/2006/relationships/hyperlink" Target="https://www.koellensperger-stahl.at/" TargetMode="External"/><Relationship Id="rId32" Type="http://schemas.openxmlformats.org/officeDocument/2006/relationships/hyperlink" Target="https://shop.schrauben-tb.at/" TargetMode="External"/><Relationship Id="rId37" Type="http://schemas.openxmlformats.org/officeDocument/2006/relationships/hyperlink" Target="https://www.distrelec.at/" TargetMode="External"/><Relationship Id="rId40" Type="http://schemas.openxmlformats.org/officeDocument/2006/relationships/hyperlink" Target="https://www.werkzeug-profi.at/" TargetMode="External"/><Relationship Id="rId5" Type="http://schemas.openxmlformats.org/officeDocument/2006/relationships/hyperlink" Target="https://www.elesa-ganter.at/de/aut" TargetMode="External"/><Relationship Id="rId15" Type="http://schemas.openxmlformats.org/officeDocument/2006/relationships/hyperlink" Target="https://www.conrad.at/" TargetMode="External"/><Relationship Id="rId23" Type="http://schemas.openxmlformats.org/officeDocument/2006/relationships/hyperlink" Target="https://shop.ibl-raimund.de/" TargetMode="External"/><Relationship Id="rId28" Type="http://schemas.openxmlformats.org/officeDocument/2006/relationships/hyperlink" Target="https://www.s-polytec.de/" TargetMode="External"/><Relationship Id="rId36" Type="http://schemas.openxmlformats.org/officeDocument/2006/relationships/hyperlink" Target="https://de.elv.com/" TargetMode="External"/><Relationship Id="rId10" Type="http://schemas.openxmlformats.org/officeDocument/2006/relationships/hyperlink" Target="https://norelem.de/de/" TargetMode="External"/><Relationship Id="rId19" Type="http://schemas.openxmlformats.org/officeDocument/2006/relationships/hyperlink" Target="https://www.gemmel-metalle.de/" TargetMode="External"/><Relationship Id="rId31" Type="http://schemas.openxmlformats.org/officeDocument/2006/relationships/hyperlink" Target="https://www.wdscomponents.com/de" TargetMode="External"/><Relationship Id="rId4" Type="http://schemas.openxmlformats.org/officeDocument/2006/relationships/hyperlink" Target="https://www.haberkorn.com/" TargetMode="External"/><Relationship Id="rId9" Type="http://schemas.openxmlformats.org/officeDocument/2006/relationships/hyperlink" Target="https://www.kugellager-express.de/" TargetMode="External"/><Relationship Id="rId14" Type="http://schemas.openxmlformats.org/officeDocument/2006/relationships/hyperlink" Target="https://www.reichelt.at/" TargetMode="External"/><Relationship Id="rId22" Type="http://schemas.openxmlformats.org/officeDocument/2006/relationships/hyperlink" Target="https://metall-fachhandel.de/" TargetMode="External"/><Relationship Id="rId27" Type="http://schemas.openxmlformats.org/officeDocument/2006/relationships/hyperlink" Target="https://eshop.wuerth.at/de/DE/EUR/" TargetMode="External"/><Relationship Id="rId30" Type="http://schemas.openxmlformats.org/officeDocument/2006/relationships/hyperlink" Target="https://eu.robotshop.com/de" TargetMode="External"/><Relationship Id="rId35" Type="http://schemas.openxmlformats.org/officeDocument/2006/relationships/hyperlink" Target="https://eckstein-shop.de/Startseite" TargetMode="External"/><Relationship Id="rId43" Type="http://schemas.openxmlformats.org/officeDocument/2006/relationships/hyperlink" Target="https://www.bauhaus.at/" TargetMode="External"/><Relationship Id="rId8" Type="http://schemas.openxmlformats.org/officeDocument/2006/relationships/hyperlink" Target="https://www.eurocircuits.com/" TargetMode="External"/><Relationship Id="rId3" Type="http://schemas.openxmlformats.org/officeDocument/2006/relationships/hyperlink" Target="https://www.mouser.at/" TargetMode="External"/><Relationship Id="rId12" Type="http://schemas.openxmlformats.org/officeDocument/2006/relationships/hyperlink" Target="https://de.misumi-ec.com/" TargetMode="External"/><Relationship Id="rId17" Type="http://schemas.openxmlformats.org/officeDocument/2006/relationships/hyperlink" Target="https://www.hoffmann-group.com/AT/de/hoa/" TargetMode="External"/><Relationship Id="rId25" Type="http://schemas.openxmlformats.org/officeDocument/2006/relationships/hyperlink" Target="https://www.ragg-stahlhandel.com/" TargetMode="External"/><Relationship Id="rId33" Type="http://schemas.openxmlformats.org/officeDocument/2006/relationships/hyperlink" Target="https://www.funkenflug.co.at/" TargetMode="External"/><Relationship Id="rId38" Type="http://schemas.openxmlformats.org/officeDocument/2006/relationships/hyperlink" Target="https://www.dold-mechatronik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berkorn.com/item-profilsysteme/mb-systembaukasten/profile-und-zubehoer/konstruktionsprofil/1093819-konstruktionsprofil-8-rastermass-40-mm?partNumber=Z12685" TargetMode="External"/><Relationship Id="rId2" Type="http://schemas.openxmlformats.org/officeDocument/2006/relationships/hyperlink" Target="https://www.haberkorn.com/item-profilsysteme/mb-systembaukasten/profile-und-zubehoer/konstruktionsprofil/1093819-konstruktionsprofil-8-rastermass-40-mm?partNumber=Z12685" TargetMode="External"/><Relationship Id="rId1" Type="http://schemas.openxmlformats.org/officeDocument/2006/relationships/hyperlink" Target="https://www.haberkorn.com/item-profilsysteme/mb-systembaukasten/profile-und-zubehoer/konstruktionsprofil/1093819-konstruktionsprofil-8-rastermass-40-mm?partNumber=Z12685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mou.sr/3H4Pt14" TargetMode="External"/><Relationship Id="rId4" Type="http://schemas.openxmlformats.org/officeDocument/2006/relationships/hyperlink" Target="https://www.haberkorn.com/item-profilsysteme/mb-systembaukasten/profile-und-zubehoer/konstruktionsprofil/1093819-konstruktionsprofil-8-rastermass-40-mm?partNumber=Z1268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O93"/>
  <sheetViews>
    <sheetView tabSelected="1" zoomScale="85" zoomScaleNormal="85" workbookViewId="0">
      <selection activeCell="C8" sqref="C8"/>
    </sheetView>
  </sheetViews>
  <sheetFormatPr baseColWidth="10" defaultColWidth="11.3984375" defaultRowHeight="14.25" x14ac:dyDescent="0.45"/>
  <cols>
    <col min="2" max="2" width="7.73046875" bestFit="1" customWidth="1"/>
    <col min="3" max="3" width="37" customWidth="1"/>
    <col min="4" max="4" width="13" customWidth="1"/>
    <col min="5" max="5" width="19.73046875" customWidth="1"/>
    <col min="6" max="6" width="28" customWidth="1"/>
    <col min="7" max="7" width="10.73046875" bestFit="1" customWidth="1"/>
    <col min="8" max="8" width="12.73046875" customWidth="1"/>
    <col min="9" max="9" width="15" bestFit="1" customWidth="1"/>
    <col min="10" max="10" width="14.59765625" bestFit="1" customWidth="1"/>
    <col min="11" max="11" width="12.86328125" bestFit="1" customWidth="1"/>
    <col min="12" max="12" width="12.3984375" bestFit="1" customWidth="1"/>
    <col min="13" max="13" width="8.59765625" customWidth="1"/>
    <col min="14" max="14" width="13.59765625" bestFit="1" customWidth="1"/>
    <col min="15" max="15" width="63.265625" bestFit="1" customWidth="1"/>
  </cols>
  <sheetData>
    <row r="1" spans="1:15" x14ac:dyDescent="0.45">
      <c r="A1" s="10" t="s">
        <v>233</v>
      </c>
    </row>
    <row r="2" spans="1:15" x14ac:dyDescent="0.45">
      <c r="G2" s="10"/>
      <c r="H2" s="10"/>
    </row>
    <row r="3" spans="1:15" x14ac:dyDescent="0.45">
      <c r="B3" s="1" t="s">
        <v>0</v>
      </c>
      <c r="C3" s="10" t="s">
        <v>1</v>
      </c>
      <c r="D3" s="1" t="s">
        <v>2</v>
      </c>
      <c r="E3" s="1" t="s">
        <v>3</v>
      </c>
      <c r="F3" s="1" t="s">
        <v>4</v>
      </c>
      <c r="G3" s="10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 x14ac:dyDescent="0.45">
      <c r="B4" t="s">
        <v>264</v>
      </c>
      <c r="C4" s="27" t="s">
        <v>181</v>
      </c>
      <c r="D4" t="s">
        <v>185</v>
      </c>
      <c r="E4" s="27" t="s">
        <v>209</v>
      </c>
      <c r="F4" s="19" t="s">
        <v>210</v>
      </c>
      <c r="G4">
        <v>2</v>
      </c>
      <c r="I4" s="14">
        <f>J4*1.2</f>
        <v>0.156</v>
      </c>
      <c r="J4" s="14">
        <v>0.13</v>
      </c>
      <c r="K4" s="14">
        <f>I4*G4</f>
        <v>0.312</v>
      </c>
      <c r="L4" s="24">
        <f>J4*G4</f>
        <v>0.26</v>
      </c>
      <c r="M4" s="16"/>
      <c r="N4" s="15"/>
    </row>
    <row r="5" spans="1:15" x14ac:dyDescent="0.45">
      <c r="B5" t="s">
        <v>261</v>
      </c>
      <c r="C5" s="27" t="s">
        <v>180</v>
      </c>
      <c r="D5" t="s">
        <v>185</v>
      </c>
      <c r="E5" s="27" t="s">
        <v>211</v>
      </c>
      <c r="F5" s="13" t="s">
        <v>212</v>
      </c>
      <c r="G5">
        <v>8</v>
      </c>
      <c r="I5" s="14">
        <f t="shared" ref="I5:I28" si="0">J5*1.2</f>
        <v>0.84</v>
      </c>
      <c r="J5" s="14">
        <v>0.7</v>
      </c>
      <c r="K5" s="14">
        <f t="shared" ref="K5:K28" si="1">I5*G5</f>
        <v>6.72</v>
      </c>
      <c r="L5" s="24">
        <f t="shared" ref="L5:L28" si="2">J5*G5</f>
        <v>5.6</v>
      </c>
      <c r="M5" s="16"/>
      <c r="N5" s="15"/>
    </row>
    <row r="6" spans="1:15" x14ac:dyDescent="0.45">
      <c r="B6" t="s">
        <v>261</v>
      </c>
      <c r="C6" t="s">
        <v>225</v>
      </c>
      <c r="D6" t="s">
        <v>185</v>
      </c>
      <c r="E6" s="27" t="s">
        <v>224</v>
      </c>
      <c r="F6" s="19" t="s">
        <v>223</v>
      </c>
      <c r="G6">
        <v>1</v>
      </c>
      <c r="I6" s="14">
        <f t="shared" si="0"/>
        <v>0.20400000000000001</v>
      </c>
      <c r="J6" s="14">
        <v>0.17</v>
      </c>
      <c r="K6" s="14">
        <f t="shared" si="1"/>
        <v>0.20400000000000001</v>
      </c>
      <c r="L6" s="24">
        <f t="shared" si="2"/>
        <v>0.17</v>
      </c>
      <c r="M6" s="16"/>
      <c r="N6" s="15"/>
    </row>
    <row r="7" spans="1:15" x14ac:dyDescent="0.45">
      <c r="A7" s="31"/>
      <c r="B7" t="s">
        <v>261</v>
      </c>
      <c r="C7" s="27" t="s">
        <v>179</v>
      </c>
      <c r="D7" t="s">
        <v>185</v>
      </c>
      <c r="E7" s="27" t="s">
        <v>213</v>
      </c>
      <c r="F7" s="19" t="s">
        <v>214</v>
      </c>
      <c r="G7">
        <v>4</v>
      </c>
      <c r="I7" s="14">
        <f t="shared" si="0"/>
        <v>0.108</v>
      </c>
      <c r="J7" s="14">
        <v>0.09</v>
      </c>
      <c r="K7" s="14">
        <f t="shared" si="1"/>
        <v>0.432</v>
      </c>
      <c r="L7" s="24">
        <f t="shared" si="2"/>
        <v>0.36</v>
      </c>
      <c r="M7" s="16"/>
      <c r="N7" s="15"/>
    </row>
    <row r="8" spans="1:15" x14ac:dyDescent="0.45">
      <c r="B8" t="s">
        <v>261</v>
      </c>
      <c r="C8" s="27" t="s">
        <v>175</v>
      </c>
      <c r="D8" t="s">
        <v>185</v>
      </c>
      <c r="E8" s="27" t="s">
        <v>215</v>
      </c>
      <c r="F8" s="19" t="s">
        <v>216</v>
      </c>
      <c r="G8">
        <v>2</v>
      </c>
      <c r="I8" s="14">
        <f t="shared" si="0"/>
        <v>0.192</v>
      </c>
      <c r="J8" s="14">
        <v>0.16</v>
      </c>
      <c r="K8" s="14">
        <f t="shared" si="1"/>
        <v>0.38400000000000001</v>
      </c>
      <c r="L8" s="24">
        <f t="shared" si="2"/>
        <v>0.32</v>
      </c>
      <c r="M8" s="16"/>
      <c r="N8" s="15"/>
    </row>
    <row r="9" spans="1:15" x14ac:dyDescent="0.45">
      <c r="B9" t="s">
        <v>261</v>
      </c>
      <c r="C9" s="27" t="s">
        <v>176</v>
      </c>
      <c r="D9" t="s">
        <v>185</v>
      </c>
      <c r="E9" s="27" t="s">
        <v>217</v>
      </c>
      <c r="F9" s="19" t="s">
        <v>218</v>
      </c>
      <c r="G9">
        <v>1</v>
      </c>
      <c r="I9" s="14">
        <f t="shared" si="0"/>
        <v>0.12</v>
      </c>
      <c r="J9" s="14">
        <v>0.1</v>
      </c>
      <c r="K9" s="14">
        <f t="shared" si="1"/>
        <v>0.12</v>
      </c>
      <c r="L9" s="24">
        <f t="shared" si="2"/>
        <v>0.1</v>
      </c>
      <c r="M9" s="16"/>
      <c r="N9" s="15"/>
    </row>
    <row r="10" spans="1:15" x14ac:dyDescent="0.45">
      <c r="B10" t="s">
        <v>261</v>
      </c>
      <c r="C10" s="27" t="s">
        <v>226</v>
      </c>
      <c r="D10" t="s">
        <v>185</v>
      </c>
      <c r="E10" s="27" t="s">
        <v>228</v>
      </c>
      <c r="F10" s="19" t="s">
        <v>227</v>
      </c>
      <c r="G10">
        <v>2</v>
      </c>
      <c r="I10" s="14">
        <f t="shared" si="0"/>
        <v>1.1279999999999999</v>
      </c>
      <c r="J10" s="14">
        <v>0.94</v>
      </c>
      <c r="K10" s="14">
        <f t="shared" si="1"/>
        <v>2.2559999999999998</v>
      </c>
      <c r="L10" s="24">
        <f t="shared" si="2"/>
        <v>1.88</v>
      </c>
      <c r="M10" s="16"/>
      <c r="N10" s="15"/>
    </row>
    <row r="11" spans="1:15" x14ac:dyDescent="0.45">
      <c r="A11" s="33"/>
      <c r="B11" s="33"/>
      <c r="C11" s="34"/>
      <c r="D11" s="33"/>
      <c r="E11" s="34"/>
      <c r="F11" s="35"/>
      <c r="G11" s="33"/>
      <c r="H11" s="33"/>
      <c r="I11" s="36"/>
      <c r="J11" s="36"/>
      <c r="K11" s="36"/>
      <c r="L11" s="37"/>
      <c r="M11" s="16"/>
      <c r="N11" s="15"/>
    </row>
    <row r="12" spans="1:15" x14ac:dyDescent="0.45">
      <c r="B12" t="s">
        <v>261</v>
      </c>
      <c r="C12" s="27" t="s">
        <v>186</v>
      </c>
      <c r="D12" t="s">
        <v>185</v>
      </c>
      <c r="E12" s="27" t="s">
        <v>184</v>
      </c>
      <c r="F12" s="19" t="s">
        <v>187</v>
      </c>
      <c r="G12">
        <v>4</v>
      </c>
      <c r="I12" s="14">
        <f t="shared" si="0"/>
        <v>1.8959999999999999</v>
      </c>
      <c r="J12" s="14">
        <v>1.58</v>
      </c>
      <c r="K12" s="14">
        <f t="shared" si="1"/>
        <v>7.5839999999999996</v>
      </c>
      <c r="L12" s="24">
        <f t="shared" si="2"/>
        <v>6.32</v>
      </c>
      <c r="M12" s="16"/>
      <c r="N12" s="15"/>
    </row>
    <row r="13" spans="1:15" x14ac:dyDescent="0.45">
      <c r="B13" t="s">
        <v>261</v>
      </c>
      <c r="C13" s="27" t="s">
        <v>219</v>
      </c>
      <c r="D13" t="s">
        <v>185</v>
      </c>
      <c r="E13" s="27" t="s">
        <v>220</v>
      </c>
      <c r="F13" s="19" t="s">
        <v>221</v>
      </c>
      <c r="G13">
        <v>1</v>
      </c>
      <c r="I13" s="14">
        <f t="shared" si="0"/>
        <v>0.72</v>
      </c>
      <c r="J13" s="14">
        <v>0.6</v>
      </c>
      <c r="K13" s="14">
        <f t="shared" si="1"/>
        <v>0.72</v>
      </c>
      <c r="L13" s="24">
        <f t="shared" si="2"/>
        <v>0.6</v>
      </c>
      <c r="M13" s="16"/>
      <c r="N13" s="15"/>
    </row>
    <row r="14" spans="1:15" x14ac:dyDescent="0.45">
      <c r="B14" t="s">
        <v>261</v>
      </c>
      <c r="C14" s="27" t="s">
        <v>222</v>
      </c>
      <c r="D14" t="s">
        <v>185</v>
      </c>
      <c r="E14" s="27" t="s">
        <v>189</v>
      </c>
      <c r="F14" s="19" t="s">
        <v>190</v>
      </c>
      <c r="G14">
        <v>2</v>
      </c>
      <c r="I14" s="14">
        <f t="shared" si="0"/>
        <v>1.8839999999999999</v>
      </c>
      <c r="J14" s="14">
        <v>1.57</v>
      </c>
      <c r="K14" s="14">
        <f t="shared" si="1"/>
        <v>3.7679999999999998</v>
      </c>
      <c r="L14" s="24">
        <f t="shared" si="2"/>
        <v>3.14</v>
      </c>
      <c r="M14" s="16"/>
      <c r="N14" s="15"/>
    </row>
    <row r="15" spans="1:15" x14ac:dyDescent="0.45">
      <c r="B15" t="s">
        <v>261</v>
      </c>
      <c r="C15" s="27" t="s">
        <v>188</v>
      </c>
      <c r="D15" t="s">
        <v>185</v>
      </c>
      <c r="E15" s="27" t="s">
        <v>191</v>
      </c>
      <c r="F15" s="19" t="s">
        <v>192</v>
      </c>
      <c r="G15">
        <v>3</v>
      </c>
      <c r="I15" s="14">
        <f t="shared" si="0"/>
        <v>2.2320000000000002</v>
      </c>
      <c r="J15" s="14">
        <v>1.86</v>
      </c>
      <c r="K15" s="14">
        <f t="shared" si="1"/>
        <v>6.6960000000000006</v>
      </c>
      <c r="L15" s="24">
        <f t="shared" si="2"/>
        <v>5.58</v>
      </c>
      <c r="M15" s="16"/>
      <c r="N15" s="15"/>
    </row>
    <row r="16" spans="1:15" x14ac:dyDescent="0.45">
      <c r="B16" t="s">
        <v>261</v>
      </c>
      <c r="C16" s="27" t="s">
        <v>197</v>
      </c>
      <c r="D16" t="s">
        <v>185</v>
      </c>
      <c r="E16" s="27" t="s">
        <v>200</v>
      </c>
      <c r="F16" s="13" t="s">
        <v>201</v>
      </c>
      <c r="G16">
        <v>2</v>
      </c>
      <c r="I16" s="14">
        <f t="shared" si="0"/>
        <v>1.0920000000000001</v>
      </c>
      <c r="J16" s="14">
        <v>0.91</v>
      </c>
      <c r="K16" s="14">
        <f t="shared" si="1"/>
        <v>2.1840000000000002</v>
      </c>
      <c r="L16" s="24">
        <f t="shared" si="2"/>
        <v>1.82</v>
      </c>
      <c r="M16" s="16"/>
      <c r="N16" s="15"/>
    </row>
    <row r="17" spans="2:15" x14ac:dyDescent="0.45">
      <c r="B17" t="s">
        <v>261</v>
      </c>
      <c r="C17" s="27" t="s">
        <v>196</v>
      </c>
      <c r="D17" t="s">
        <v>185</v>
      </c>
      <c r="E17" s="27" t="s">
        <v>198</v>
      </c>
      <c r="F17" s="19" t="s">
        <v>199</v>
      </c>
      <c r="G17">
        <v>2</v>
      </c>
      <c r="I17" s="14">
        <f t="shared" si="0"/>
        <v>0.85199999999999998</v>
      </c>
      <c r="J17" s="14">
        <v>0.71</v>
      </c>
      <c r="K17" s="14">
        <f t="shared" si="1"/>
        <v>1.704</v>
      </c>
      <c r="L17" s="24">
        <f t="shared" si="2"/>
        <v>1.42</v>
      </c>
      <c r="M17" s="16"/>
      <c r="N17" s="15"/>
    </row>
    <row r="18" spans="2:15" x14ac:dyDescent="0.45">
      <c r="B18" t="s">
        <v>261</v>
      </c>
      <c r="C18" s="27" t="s">
        <v>182</v>
      </c>
      <c r="D18" t="s">
        <v>185</v>
      </c>
      <c r="E18" s="27" t="s">
        <v>202</v>
      </c>
      <c r="F18" s="19" t="s">
        <v>203</v>
      </c>
      <c r="G18">
        <v>1</v>
      </c>
      <c r="I18" s="14">
        <f t="shared" si="0"/>
        <v>0.13200000000000001</v>
      </c>
      <c r="J18" s="14">
        <v>0.11</v>
      </c>
      <c r="K18" s="14">
        <f t="shared" si="1"/>
        <v>0.13200000000000001</v>
      </c>
      <c r="L18" s="24">
        <f t="shared" si="2"/>
        <v>0.11</v>
      </c>
      <c r="M18" s="16"/>
      <c r="N18" s="15"/>
    </row>
    <row r="19" spans="2:15" x14ac:dyDescent="0.45">
      <c r="B19" t="s">
        <v>261</v>
      </c>
      <c r="C19" s="27" t="s">
        <v>183</v>
      </c>
      <c r="D19" t="s">
        <v>185</v>
      </c>
      <c r="E19" s="27" t="s">
        <v>204</v>
      </c>
      <c r="F19" s="13" t="s">
        <v>205</v>
      </c>
      <c r="G19">
        <v>1</v>
      </c>
      <c r="I19" s="14">
        <f t="shared" si="0"/>
        <v>0.13200000000000001</v>
      </c>
      <c r="J19" s="14">
        <v>0.11</v>
      </c>
      <c r="K19" s="14">
        <f t="shared" si="1"/>
        <v>0.13200000000000001</v>
      </c>
      <c r="L19" s="24">
        <f t="shared" si="2"/>
        <v>0.11</v>
      </c>
      <c r="M19" s="16"/>
      <c r="N19" s="15"/>
    </row>
    <row r="20" spans="2:15" x14ac:dyDescent="0.45">
      <c r="B20" t="s">
        <v>261</v>
      </c>
      <c r="C20" s="27" t="s">
        <v>206</v>
      </c>
      <c r="D20" t="s">
        <v>185</v>
      </c>
      <c r="E20" s="27" t="s">
        <v>207</v>
      </c>
      <c r="F20" s="19" t="s">
        <v>208</v>
      </c>
      <c r="G20">
        <v>2</v>
      </c>
      <c r="I20" s="14">
        <f t="shared" si="0"/>
        <v>3.0960000000000001</v>
      </c>
      <c r="J20" s="14">
        <v>2.58</v>
      </c>
      <c r="K20" s="14">
        <f t="shared" si="1"/>
        <v>6.1920000000000002</v>
      </c>
      <c r="L20" s="24">
        <f t="shared" si="2"/>
        <v>5.16</v>
      </c>
      <c r="M20" s="16"/>
      <c r="N20" s="15"/>
    </row>
    <row r="21" spans="2:15" x14ac:dyDescent="0.45">
      <c r="B21" t="s">
        <v>261</v>
      </c>
      <c r="C21" s="27" t="s">
        <v>229</v>
      </c>
      <c r="D21" t="s">
        <v>185</v>
      </c>
      <c r="E21" s="27" t="s">
        <v>231</v>
      </c>
      <c r="F21" s="13" t="s">
        <v>230</v>
      </c>
      <c r="G21">
        <v>2</v>
      </c>
      <c r="I21" s="14">
        <f t="shared" si="0"/>
        <v>0.49199999999999994</v>
      </c>
      <c r="J21" s="14">
        <v>0.41</v>
      </c>
      <c r="K21" s="14">
        <f t="shared" si="1"/>
        <v>0.98399999999999987</v>
      </c>
      <c r="L21" s="24">
        <f t="shared" si="2"/>
        <v>0.82</v>
      </c>
      <c r="M21" s="16"/>
      <c r="N21" s="15"/>
    </row>
    <row r="22" spans="2:15" x14ac:dyDescent="0.45">
      <c r="B22" t="s">
        <v>261</v>
      </c>
      <c r="C22" s="27" t="s">
        <v>232</v>
      </c>
      <c r="D22" t="s">
        <v>185</v>
      </c>
      <c r="E22" s="27" t="s">
        <v>234</v>
      </c>
      <c r="F22" s="19" t="s">
        <v>235</v>
      </c>
      <c r="G22">
        <v>1</v>
      </c>
      <c r="I22" s="14">
        <f t="shared" si="0"/>
        <v>0.108</v>
      </c>
      <c r="J22" s="14">
        <v>0.09</v>
      </c>
      <c r="K22" s="14">
        <f t="shared" si="1"/>
        <v>0.108</v>
      </c>
      <c r="L22" s="24">
        <f t="shared" si="2"/>
        <v>0.09</v>
      </c>
      <c r="M22" s="16"/>
      <c r="N22" s="15"/>
    </row>
    <row r="23" spans="2:15" x14ac:dyDescent="0.45">
      <c r="B23" t="s">
        <v>261</v>
      </c>
      <c r="C23" s="27" t="s">
        <v>241</v>
      </c>
      <c r="D23" t="s">
        <v>185</v>
      </c>
      <c r="E23" s="27" t="s">
        <v>242</v>
      </c>
      <c r="F23" s="19" t="s">
        <v>243</v>
      </c>
      <c r="G23">
        <v>1</v>
      </c>
      <c r="I23" s="14">
        <f t="shared" si="0"/>
        <v>0.108</v>
      </c>
      <c r="J23" s="14">
        <v>0.09</v>
      </c>
      <c r="K23" s="14">
        <f t="shared" si="1"/>
        <v>0.108</v>
      </c>
      <c r="L23" s="24">
        <f t="shared" si="2"/>
        <v>0.09</v>
      </c>
      <c r="M23" s="16"/>
      <c r="N23" s="15"/>
    </row>
    <row r="24" spans="2:15" x14ac:dyDescent="0.45">
      <c r="B24" t="s">
        <v>261</v>
      </c>
      <c r="C24" s="27" t="s">
        <v>244</v>
      </c>
      <c r="D24" t="s">
        <v>185</v>
      </c>
      <c r="E24" s="27" t="s">
        <v>245</v>
      </c>
      <c r="F24" s="13" t="s">
        <v>246</v>
      </c>
      <c r="G24">
        <v>8</v>
      </c>
      <c r="I24" s="14">
        <f t="shared" si="0"/>
        <v>0.108</v>
      </c>
      <c r="J24" s="14">
        <v>0.09</v>
      </c>
      <c r="K24" s="14">
        <f t="shared" si="1"/>
        <v>0.86399999999999999</v>
      </c>
      <c r="L24" s="24">
        <f t="shared" si="2"/>
        <v>0.72</v>
      </c>
      <c r="M24" s="16"/>
      <c r="N24" s="15"/>
    </row>
    <row r="25" spans="2:15" x14ac:dyDescent="0.45">
      <c r="B25" t="s">
        <v>261</v>
      </c>
      <c r="C25" s="27" t="s">
        <v>178</v>
      </c>
      <c r="D25" t="s">
        <v>185</v>
      </c>
      <c r="E25" s="27" t="s">
        <v>236</v>
      </c>
      <c r="F25" s="13" t="s">
        <v>237</v>
      </c>
      <c r="G25">
        <v>1</v>
      </c>
      <c r="I25" s="14">
        <f t="shared" si="0"/>
        <v>0.108</v>
      </c>
      <c r="J25" s="14">
        <v>0.09</v>
      </c>
      <c r="K25" s="14">
        <f t="shared" si="1"/>
        <v>0.108</v>
      </c>
      <c r="L25" s="24">
        <f t="shared" si="2"/>
        <v>0.09</v>
      </c>
      <c r="M25" s="16"/>
      <c r="N25" s="15"/>
    </row>
    <row r="26" spans="2:15" x14ac:dyDescent="0.45">
      <c r="B26" t="s">
        <v>261</v>
      </c>
      <c r="C26" s="27" t="s">
        <v>193</v>
      </c>
      <c r="D26" t="s">
        <v>185</v>
      </c>
      <c r="E26" s="27" t="s">
        <v>194</v>
      </c>
      <c r="F26" s="19" t="s">
        <v>195</v>
      </c>
      <c r="G26">
        <v>1</v>
      </c>
      <c r="I26" s="14">
        <f t="shared" si="0"/>
        <v>6.48</v>
      </c>
      <c r="J26" s="14">
        <v>5.4</v>
      </c>
      <c r="K26" s="14">
        <f t="shared" si="1"/>
        <v>6.48</v>
      </c>
      <c r="L26" s="24">
        <f t="shared" si="2"/>
        <v>5.4</v>
      </c>
      <c r="M26" s="16"/>
      <c r="N26" s="15"/>
    </row>
    <row r="27" spans="2:15" x14ac:dyDescent="0.45">
      <c r="B27" t="s">
        <v>261</v>
      </c>
      <c r="C27" t="s">
        <v>240</v>
      </c>
      <c r="D27" t="s">
        <v>185</v>
      </c>
      <c r="E27" s="27" t="s">
        <v>238</v>
      </c>
      <c r="F27" s="19" t="s">
        <v>239</v>
      </c>
      <c r="G27">
        <v>1</v>
      </c>
      <c r="I27" s="14">
        <f t="shared" si="0"/>
        <v>3.1799999999999997</v>
      </c>
      <c r="J27" s="14">
        <v>2.65</v>
      </c>
      <c r="K27" s="14">
        <f t="shared" si="1"/>
        <v>3.1799999999999997</v>
      </c>
      <c r="L27" s="24">
        <f t="shared" si="2"/>
        <v>2.65</v>
      </c>
      <c r="M27" s="16"/>
      <c r="N27" s="15"/>
    </row>
    <row r="28" spans="2:15" x14ac:dyDescent="0.45">
      <c r="B28" t="s">
        <v>262</v>
      </c>
      <c r="C28" t="s">
        <v>249</v>
      </c>
      <c r="D28" t="s">
        <v>185</v>
      </c>
      <c r="E28" s="27" t="s">
        <v>247</v>
      </c>
      <c r="F28" s="19" t="s">
        <v>248</v>
      </c>
      <c r="G28">
        <v>48</v>
      </c>
      <c r="I28" s="14">
        <f t="shared" si="0"/>
        <v>0.192</v>
      </c>
      <c r="J28" s="24">
        <v>0.16</v>
      </c>
      <c r="K28" s="14">
        <f t="shared" si="1"/>
        <v>9.2160000000000011</v>
      </c>
      <c r="L28" s="24">
        <f t="shared" si="2"/>
        <v>7.68</v>
      </c>
      <c r="M28" s="16"/>
      <c r="N28" s="15"/>
    </row>
    <row r="29" spans="2:15" x14ac:dyDescent="0.45">
      <c r="B29" t="s">
        <v>262</v>
      </c>
      <c r="C29" t="s">
        <v>252</v>
      </c>
      <c r="D29" t="s">
        <v>185</v>
      </c>
      <c r="E29" s="27" t="s">
        <v>250</v>
      </c>
      <c r="F29" s="19" t="s">
        <v>251</v>
      </c>
      <c r="G29">
        <v>1</v>
      </c>
      <c r="I29" s="14">
        <f>J29*1.2</f>
        <v>2.1</v>
      </c>
      <c r="J29" s="24">
        <v>1.75</v>
      </c>
      <c r="K29" s="14">
        <f>I29*G29</f>
        <v>2.1</v>
      </c>
      <c r="L29" s="24">
        <f>J29*G29</f>
        <v>1.75</v>
      </c>
      <c r="M29" s="16"/>
      <c r="N29" s="15"/>
      <c r="O29" s="28"/>
    </row>
    <row r="30" spans="2:15" x14ac:dyDescent="0.45">
      <c r="B30" t="s">
        <v>263</v>
      </c>
      <c r="C30" t="s">
        <v>255</v>
      </c>
      <c r="D30" t="s">
        <v>254</v>
      </c>
      <c r="E30" s="27" t="s">
        <v>253</v>
      </c>
      <c r="F30" s="19" t="s">
        <v>256</v>
      </c>
      <c r="G30">
        <v>2</v>
      </c>
      <c r="I30" s="14">
        <f>J30*1.2</f>
        <v>3.12</v>
      </c>
      <c r="J30" s="24">
        <v>2.6</v>
      </c>
      <c r="K30" s="14">
        <f>I30*G30</f>
        <v>6.24</v>
      </c>
      <c r="L30" s="24">
        <f>J30*G30</f>
        <v>5.2</v>
      </c>
      <c r="M30" s="16"/>
      <c r="N30" s="15"/>
      <c r="O30" t="s">
        <v>257</v>
      </c>
    </row>
    <row r="31" spans="2:15" x14ac:dyDescent="0.45">
      <c r="B31" t="s">
        <v>263</v>
      </c>
      <c r="C31" t="s">
        <v>259</v>
      </c>
      <c r="D31" t="s">
        <v>185</v>
      </c>
      <c r="E31" s="27" t="s">
        <v>260</v>
      </c>
      <c r="F31" s="29" t="s">
        <v>258</v>
      </c>
      <c r="G31">
        <v>10</v>
      </c>
      <c r="I31" s="14">
        <f>J31*1.2</f>
        <v>1.92</v>
      </c>
      <c r="J31" s="24">
        <v>1.6</v>
      </c>
      <c r="K31" s="14">
        <f>I31*G31</f>
        <v>19.2</v>
      </c>
      <c r="L31" s="24">
        <f>J31*G31</f>
        <v>16</v>
      </c>
      <c r="M31" s="16"/>
      <c r="N31" s="15"/>
    </row>
    <row r="32" spans="2:15" x14ac:dyDescent="0.45">
      <c r="B32" t="s">
        <v>265</v>
      </c>
      <c r="C32" t="s">
        <v>266</v>
      </c>
      <c r="D32" t="s">
        <v>185</v>
      </c>
      <c r="E32" s="27" t="s">
        <v>267</v>
      </c>
      <c r="F32" t="s">
        <v>268</v>
      </c>
      <c r="G32">
        <v>1</v>
      </c>
      <c r="I32" s="14">
        <f>J32*1.2</f>
        <v>3</v>
      </c>
      <c r="J32" s="24">
        <v>2.5</v>
      </c>
      <c r="K32" s="14">
        <f>I32*G32</f>
        <v>3</v>
      </c>
      <c r="L32" s="24">
        <f>J32*G32</f>
        <v>2.5</v>
      </c>
      <c r="M32" s="16"/>
      <c r="N32" s="15"/>
    </row>
    <row r="33" spans="1:14" x14ac:dyDescent="0.45">
      <c r="B33" t="s">
        <v>265</v>
      </c>
      <c r="C33" t="s">
        <v>249</v>
      </c>
      <c r="D33" t="s">
        <v>185</v>
      </c>
      <c r="E33" s="27" t="s">
        <v>269</v>
      </c>
      <c r="F33" s="19" t="s">
        <v>270</v>
      </c>
      <c r="G33">
        <v>11</v>
      </c>
      <c r="I33" s="14">
        <f>J33*1.2</f>
        <v>0.68399999999999994</v>
      </c>
      <c r="J33" s="24">
        <v>0.56999999999999995</v>
      </c>
      <c r="K33" s="14">
        <f>I33*G33</f>
        <v>7.5239999999999991</v>
      </c>
      <c r="L33" s="24">
        <f>J33*G33</f>
        <v>6.27</v>
      </c>
      <c r="M33" s="16"/>
      <c r="N33" s="15"/>
    </row>
    <row r="34" spans="1:14" x14ac:dyDescent="0.45">
      <c r="B34" t="s">
        <v>265</v>
      </c>
      <c r="C34" t="s">
        <v>273</v>
      </c>
      <c r="D34" t="s">
        <v>185</v>
      </c>
      <c r="E34" s="27" t="s">
        <v>271</v>
      </c>
      <c r="F34" s="19" t="s">
        <v>272</v>
      </c>
      <c r="G34">
        <v>2</v>
      </c>
      <c r="I34" s="14">
        <f t="shared" ref="I34:I75" si="3">J34*1.2</f>
        <v>0.68399999999999994</v>
      </c>
      <c r="J34" s="24">
        <v>0.56999999999999995</v>
      </c>
      <c r="K34" s="14">
        <f t="shared" ref="K34:K75" si="4">I34*G34</f>
        <v>1.3679999999999999</v>
      </c>
      <c r="L34" s="24">
        <f t="shared" ref="L34:L75" si="5">J34*G34</f>
        <v>1.1399999999999999</v>
      </c>
      <c r="M34" s="16"/>
      <c r="N34" s="15"/>
    </row>
    <row r="35" spans="1:14" x14ac:dyDescent="0.45">
      <c r="B35" t="s">
        <v>265</v>
      </c>
      <c r="C35" t="s">
        <v>275</v>
      </c>
      <c r="D35" t="s">
        <v>185</v>
      </c>
      <c r="E35" s="27" t="s">
        <v>274</v>
      </c>
      <c r="F35" s="13" t="s">
        <v>276</v>
      </c>
      <c r="G35">
        <v>2</v>
      </c>
      <c r="I35" s="14">
        <f t="shared" si="3"/>
        <v>0.20400000000000001</v>
      </c>
      <c r="J35" s="24">
        <v>0.17</v>
      </c>
      <c r="K35" s="14">
        <f t="shared" si="4"/>
        <v>0.40800000000000003</v>
      </c>
      <c r="L35" s="24">
        <f t="shared" si="5"/>
        <v>0.34</v>
      </c>
      <c r="M35" s="16"/>
      <c r="N35" s="15"/>
    </row>
    <row r="36" spans="1:14" x14ac:dyDescent="0.45">
      <c r="B36" t="s">
        <v>265</v>
      </c>
      <c r="C36" t="s">
        <v>279</v>
      </c>
      <c r="D36" t="s">
        <v>185</v>
      </c>
      <c r="E36" s="27" t="s">
        <v>277</v>
      </c>
      <c r="F36" s="19" t="s">
        <v>278</v>
      </c>
      <c r="G36">
        <v>4</v>
      </c>
      <c r="I36" s="14">
        <f t="shared" si="3"/>
        <v>0.16800000000000001</v>
      </c>
      <c r="J36" s="24">
        <v>0.14000000000000001</v>
      </c>
      <c r="K36" s="14">
        <f t="shared" si="4"/>
        <v>0.67200000000000004</v>
      </c>
      <c r="L36" s="24">
        <f t="shared" si="5"/>
        <v>0.56000000000000005</v>
      </c>
      <c r="M36" s="16"/>
      <c r="N36" s="15"/>
    </row>
    <row r="37" spans="1:14" x14ac:dyDescent="0.45">
      <c r="B37" t="s">
        <v>265</v>
      </c>
      <c r="C37" t="s">
        <v>282</v>
      </c>
      <c r="D37" t="s">
        <v>185</v>
      </c>
      <c r="E37" s="27" t="s">
        <v>280</v>
      </c>
      <c r="F37" s="19" t="s">
        <v>281</v>
      </c>
      <c r="G37">
        <v>1</v>
      </c>
      <c r="I37" s="14">
        <f t="shared" si="3"/>
        <v>0.33600000000000002</v>
      </c>
      <c r="J37" s="24">
        <v>0.28000000000000003</v>
      </c>
      <c r="K37" s="14">
        <f t="shared" si="4"/>
        <v>0.33600000000000002</v>
      </c>
      <c r="L37" s="24">
        <f t="shared" si="5"/>
        <v>0.28000000000000003</v>
      </c>
      <c r="M37" s="16"/>
      <c r="N37" s="15"/>
    </row>
    <row r="38" spans="1:14" x14ac:dyDescent="0.45">
      <c r="B38" t="s">
        <v>265</v>
      </c>
      <c r="C38" t="s">
        <v>283</v>
      </c>
      <c r="D38" t="s">
        <v>185</v>
      </c>
      <c r="E38" s="27" t="s">
        <v>284</v>
      </c>
      <c r="F38" s="19" t="s">
        <v>285</v>
      </c>
      <c r="G38">
        <v>3</v>
      </c>
      <c r="I38" s="14">
        <f t="shared" si="3"/>
        <v>0.88800000000000001</v>
      </c>
      <c r="J38" s="24">
        <v>0.74</v>
      </c>
      <c r="K38" s="14">
        <f t="shared" si="4"/>
        <v>2.6640000000000001</v>
      </c>
      <c r="L38" s="24">
        <f t="shared" si="5"/>
        <v>2.2199999999999998</v>
      </c>
      <c r="M38" s="16"/>
      <c r="N38" s="15"/>
    </row>
    <row r="39" spans="1:14" x14ac:dyDescent="0.45">
      <c r="B39" t="s">
        <v>265</v>
      </c>
      <c r="C39" s="27" t="s">
        <v>249</v>
      </c>
      <c r="D39" t="s">
        <v>185</v>
      </c>
      <c r="E39" s="27" t="s">
        <v>209</v>
      </c>
      <c r="F39" s="19" t="s">
        <v>286</v>
      </c>
      <c r="G39">
        <v>2</v>
      </c>
      <c r="I39" s="14">
        <f t="shared" si="3"/>
        <v>0.156</v>
      </c>
      <c r="J39" s="24">
        <v>0.13</v>
      </c>
      <c r="K39" s="14">
        <f t="shared" si="4"/>
        <v>0.312</v>
      </c>
      <c r="L39" s="24">
        <f t="shared" si="5"/>
        <v>0.26</v>
      </c>
      <c r="M39" s="16"/>
      <c r="N39" s="15"/>
    </row>
    <row r="40" spans="1:14" x14ac:dyDescent="0.45">
      <c r="A40" s="31"/>
      <c r="B40" t="s">
        <v>265</v>
      </c>
      <c r="C40" t="s">
        <v>282</v>
      </c>
      <c r="D40" t="s">
        <v>185</v>
      </c>
      <c r="E40" s="27" t="s">
        <v>380</v>
      </c>
      <c r="F40" s="19" t="s">
        <v>379</v>
      </c>
      <c r="G40">
        <v>3</v>
      </c>
      <c r="I40" s="14">
        <f t="shared" si="3"/>
        <v>0.20639999999999997</v>
      </c>
      <c r="J40" s="24">
        <v>0.17199999999999999</v>
      </c>
      <c r="K40" s="14">
        <f t="shared" si="4"/>
        <v>0.61919999999999997</v>
      </c>
      <c r="L40" s="24">
        <f t="shared" si="5"/>
        <v>0.51600000000000001</v>
      </c>
      <c r="M40" s="16"/>
      <c r="N40" s="15"/>
    </row>
    <row r="41" spans="1:14" x14ac:dyDescent="0.45">
      <c r="A41" s="38"/>
      <c r="B41" s="33"/>
      <c r="C41" s="33"/>
      <c r="D41" s="33"/>
      <c r="E41" s="34"/>
      <c r="F41" s="35"/>
      <c r="G41" s="33"/>
      <c r="H41" s="33"/>
      <c r="I41" s="36"/>
      <c r="J41" s="37"/>
      <c r="K41" s="36"/>
      <c r="L41" s="37"/>
      <c r="M41" s="16"/>
      <c r="N41" s="15"/>
    </row>
    <row r="42" spans="1:14" x14ac:dyDescent="0.45">
      <c r="B42" t="s">
        <v>265</v>
      </c>
      <c r="C42" t="s">
        <v>226</v>
      </c>
      <c r="D42" t="s">
        <v>185</v>
      </c>
      <c r="E42" s="27" t="s">
        <v>228</v>
      </c>
      <c r="F42" s="19" t="s">
        <v>287</v>
      </c>
      <c r="G42">
        <v>2</v>
      </c>
      <c r="I42" s="14">
        <f t="shared" si="3"/>
        <v>1.1279999999999999</v>
      </c>
      <c r="J42" s="24">
        <v>0.94</v>
      </c>
      <c r="K42" s="14">
        <f t="shared" si="4"/>
        <v>2.2559999999999998</v>
      </c>
      <c r="L42" s="24">
        <f t="shared" si="5"/>
        <v>1.88</v>
      </c>
      <c r="M42" s="16"/>
      <c r="N42" s="15"/>
    </row>
    <row r="43" spans="1:14" x14ac:dyDescent="0.45">
      <c r="B43" t="s">
        <v>265</v>
      </c>
      <c r="C43" t="s">
        <v>290</v>
      </c>
      <c r="D43" t="s">
        <v>185</v>
      </c>
      <c r="E43" s="27" t="s">
        <v>288</v>
      </c>
      <c r="F43" s="13" t="s">
        <v>289</v>
      </c>
      <c r="G43">
        <v>2</v>
      </c>
      <c r="I43" s="14">
        <f t="shared" si="3"/>
        <v>0.40800000000000003</v>
      </c>
      <c r="J43" s="24">
        <v>0.34</v>
      </c>
      <c r="K43" s="14">
        <f t="shared" si="4"/>
        <v>0.81600000000000006</v>
      </c>
      <c r="L43" s="24">
        <f t="shared" si="5"/>
        <v>0.68</v>
      </c>
      <c r="M43" s="16"/>
      <c r="N43" s="15"/>
    </row>
    <row r="44" spans="1:14" x14ac:dyDescent="0.45">
      <c r="B44" t="s">
        <v>265</v>
      </c>
      <c r="C44" t="s">
        <v>292</v>
      </c>
      <c r="D44" t="s">
        <v>185</v>
      </c>
      <c r="E44" s="27" t="s">
        <v>291</v>
      </c>
      <c r="F44" s="19" t="s">
        <v>293</v>
      </c>
      <c r="G44">
        <v>1</v>
      </c>
      <c r="I44" s="14">
        <f t="shared" si="3"/>
        <v>3.7199999999999998</v>
      </c>
      <c r="J44" s="14">
        <v>3.1</v>
      </c>
      <c r="K44" s="14">
        <f t="shared" si="4"/>
        <v>3.7199999999999998</v>
      </c>
      <c r="L44" s="24">
        <f t="shared" si="5"/>
        <v>3.1</v>
      </c>
      <c r="M44" s="16"/>
      <c r="N44" s="15"/>
    </row>
    <row r="45" spans="1:14" x14ac:dyDescent="0.45">
      <c r="B45" t="s">
        <v>265</v>
      </c>
      <c r="C45" t="s">
        <v>296</v>
      </c>
      <c r="D45" t="s">
        <v>185</v>
      </c>
      <c r="E45" s="27" t="s">
        <v>294</v>
      </c>
      <c r="F45" s="19" t="s">
        <v>295</v>
      </c>
      <c r="G45">
        <v>1</v>
      </c>
      <c r="I45" s="14">
        <f t="shared" si="3"/>
        <v>1.728</v>
      </c>
      <c r="J45" s="14">
        <v>1.44</v>
      </c>
      <c r="K45" s="14">
        <f t="shared" si="4"/>
        <v>1.728</v>
      </c>
      <c r="L45" s="24">
        <f t="shared" si="5"/>
        <v>1.44</v>
      </c>
      <c r="M45" s="16"/>
      <c r="N45" s="15"/>
    </row>
    <row r="46" spans="1:14" x14ac:dyDescent="0.45">
      <c r="B46" t="s">
        <v>265</v>
      </c>
      <c r="C46" t="s">
        <v>299</v>
      </c>
      <c r="D46" t="s">
        <v>185</v>
      </c>
      <c r="E46" s="27" t="s">
        <v>297</v>
      </c>
      <c r="F46" s="19" t="s">
        <v>298</v>
      </c>
      <c r="G46">
        <v>2</v>
      </c>
      <c r="I46" s="14">
        <f t="shared" si="3"/>
        <v>0.42</v>
      </c>
      <c r="J46" s="14">
        <v>0.35</v>
      </c>
      <c r="K46" s="14">
        <f t="shared" si="4"/>
        <v>0.84</v>
      </c>
      <c r="L46" s="24">
        <f t="shared" si="5"/>
        <v>0.7</v>
      </c>
      <c r="M46" s="16"/>
      <c r="N46" s="15"/>
    </row>
    <row r="47" spans="1:14" x14ac:dyDescent="0.45">
      <c r="B47" t="s">
        <v>265</v>
      </c>
      <c r="C47" t="s">
        <v>301</v>
      </c>
      <c r="D47" t="s">
        <v>185</v>
      </c>
      <c r="E47" s="27" t="s">
        <v>300</v>
      </c>
      <c r="F47" s="19" t="s">
        <v>302</v>
      </c>
      <c r="G47">
        <v>1</v>
      </c>
      <c r="I47" s="14">
        <f t="shared" si="3"/>
        <v>6.3119999999999994</v>
      </c>
      <c r="J47" s="14">
        <v>5.26</v>
      </c>
      <c r="K47" s="14">
        <f t="shared" si="4"/>
        <v>6.3119999999999994</v>
      </c>
      <c r="L47" s="24">
        <f t="shared" si="5"/>
        <v>5.26</v>
      </c>
      <c r="M47" s="16"/>
      <c r="N47" s="15"/>
    </row>
    <row r="48" spans="1:14" x14ac:dyDescent="0.45">
      <c r="B48" t="s">
        <v>265</v>
      </c>
      <c r="C48" t="s">
        <v>304</v>
      </c>
      <c r="D48" t="s">
        <v>185</v>
      </c>
      <c r="E48" s="27" t="s">
        <v>303</v>
      </c>
      <c r="F48" s="19" t="s">
        <v>305</v>
      </c>
      <c r="G48">
        <v>1</v>
      </c>
      <c r="I48" s="14">
        <f t="shared" si="3"/>
        <v>0.70799999999999996</v>
      </c>
      <c r="J48" s="14">
        <v>0.59</v>
      </c>
      <c r="K48" s="14">
        <f t="shared" si="4"/>
        <v>0.70799999999999996</v>
      </c>
      <c r="L48" s="24">
        <f t="shared" si="5"/>
        <v>0.59</v>
      </c>
      <c r="M48" s="16"/>
      <c r="N48" s="15"/>
    </row>
    <row r="49" spans="1:14" x14ac:dyDescent="0.45">
      <c r="B49" t="s">
        <v>265</v>
      </c>
      <c r="C49" t="s">
        <v>306</v>
      </c>
      <c r="D49" t="s">
        <v>185</v>
      </c>
      <c r="E49" s="27" t="s">
        <v>220</v>
      </c>
      <c r="F49" s="19" t="s">
        <v>307</v>
      </c>
      <c r="G49">
        <v>1</v>
      </c>
      <c r="I49" s="14">
        <f t="shared" si="3"/>
        <v>0.72</v>
      </c>
      <c r="J49" s="14">
        <v>0.6</v>
      </c>
      <c r="K49" s="14">
        <f t="shared" si="4"/>
        <v>0.72</v>
      </c>
      <c r="L49" s="24">
        <f t="shared" si="5"/>
        <v>0.6</v>
      </c>
      <c r="M49" s="16"/>
      <c r="N49" s="15"/>
    </row>
    <row r="50" spans="1:14" x14ac:dyDescent="0.45">
      <c r="B50" t="s">
        <v>265</v>
      </c>
      <c r="C50" t="s">
        <v>177</v>
      </c>
      <c r="D50" t="s">
        <v>185</v>
      </c>
      <c r="E50" s="27" t="s">
        <v>250</v>
      </c>
      <c r="F50" s="19" t="s">
        <v>308</v>
      </c>
      <c r="G50">
        <v>2</v>
      </c>
      <c r="I50" s="14">
        <f t="shared" si="3"/>
        <v>2.1</v>
      </c>
      <c r="J50" s="14">
        <v>1.75</v>
      </c>
      <c r="K50" s="14">
        <f t="shared" si="4"/>
        <v>4.2</v>
      </c>
      <c r="L50" s="24">
        <f t="shared" si="5"/>
        <v>3.5</v>
      </c>
      <c r="M50" s="16"/>
      <c r="N50" s="15"/>
    </row>
    <row r="51" spans="1:14" x14ac:dyDescent="0.45">
      <c r="B51" t="s">
        <v>265</v>
      </c>
      <c r="C51" t="s">
        <v>309</v>
      </c>
      <c r="D51" t="s">
        <v>185</v>
      </c>
      <c r="E51" s="27" t="s">
        <v>310</v>
      </c>
      <c r="F51" s="19" t="s">
        <v>311</v>
      </c>
      <c r="G51">
        <v>1</v>
      </c>
      <c r="I51" s="14">
        <f t="shared" si="3"/>
        <v>0.93599999999999994</v>
      </c>
      <c r="J51" s="14">
        <v>0.78</v>
      </c>
      <c r="K51" s="14">
        <f t="shared" si="4"/>
        <v>0.93599999999999994</v>
      </c>
      <c r="L51" s="24">
        <f t="shared" si="5"/>
        <v>0.78</v>
      </c>
      <c r="M51" s="16"/>
      <c r="N51" s="15"/>
    </row>
    <row r="52" spans="1:14" x14ac:dyDescent="0.45">
      <c r="B52" t="s">
        <v>265</v>
      </c>
      <c r="C52" t="s">
        <v>314</v>
      </c>
      <c r="D52" t="s">
        <v>185</v>
      </c>
      <c r="E52" s="27" t="s">
        <v>312</v>
      </c>
      <c r="F52" s="19" t="s">
        <v>313</v>
      </c>
      <c r="G52">
        <v>1</v>
      </c>
      <c r="I52" s="14">
        <f t="shared" si="3"/>
        <v>2.8919999999999999</v>
      </c>
      <c r="J52" s="14">
        <v>2.41</v>
      </c>
      <c r="K52" s="14">
        <f t="shared" si="4"/>
        <v>2.8919999999999999</v>
      </c>
      <c r="L52" s="24">
        <f t="shared" si="5"/>
        <v>2.41</v>
      </c>
      <c r="M52" s="16"/>
      <c r="N52" s="15"/>
    </row>
    <row r="53" spans="1:14" x14ac:dyDescent="0.45">
      <c r="B53" t="s">
        <v>265</v>
      </c>
      <c r="C53" t="s">
        <v>317</v>
      </c>
      <c r="D53" t="s">
        <v>185</v>
      </c>
      <c r="E53" s="27" t="s">
        <v>315</v>
      </c>
      <c r="F53" s="19" t="s">
        <v>316</v>
      </c>
      <c r="G53">
        <v>1</v>
      </c>
      <c r="I53" s="14">
        <f t="shared" si="3"/>
        <v>0.54</v>
      </c>
      <c r="J53" s="14">
        <v>0.45</v>
      </c>
      <c r="K53" s="14">
        <f t="shared" si="4"/>
        <v>0.54</v>
      </c>
      <c r="L53" s="24">
        <f t="shared" si="5"/>
        <v>0.45</v>
      </c>
      <c r="M53" s="16"/>
      <c r="N53" s="15"/>
    </row>
    <row r="54" spans="1:14" x14ac:dyDescent="0.45">
      <c r="B54" t="s">
        <v>265</v>
      </c>
      <c r="C54" t="s">
        <v>320</v>
      </c>
      <c r="D54" t="s">
        <v>185</v>
      </c>
      <c r="E54" s="27" t="s">
        <v>318</v>
      </c>
      <c r="F54" s="19" t="s">
        <v>319</v>
      </c>
      <c r="G54">
        <v>2</v>
      </c>
      <c r="I54" s="14">
        <f t="shared" si="3"/>
        <v>0.3</v>
      </c>
      <c r="J54" s="14">
        <v>0.25</v>
      </c>
      <c r="K54" s="14">
        <f t="shared" si="4"/>
        <v>0.6</v>
      </c>
      <c r="L54" s="24">
        <f t="shared" si="5"/>
        <v>0.5</v>
      </c>
      <c r="M54" s="16"/>
      <c r="N54" s="15"/>
    </row>
    <row r="55" spans="1:14" x14ac:dyDescent="0.45">
      <c r="B55" t="s">
        <v>265</v>
      </c>
      <c r="C55" t="s">
        <v>323</v>
      </c>
      <c r="D55" t="s">
        <v>185</v>
      </c>
      <c r="E55" s="27" t="s">
        <v>321</v>
      </c>
      <c r="F55" s="19" t="s">
        <v>322</v>
      </c>
      <c r="G55">
        <v>1</v>
      </c>
      <c r="I55" s="14">
        <f t="shared" si="3"/>
        <v>1.452</v>
      </c>
      <c r="J55" s="14">
        <v>1.21</v>
      </c>
      <c r="K55" s="14">
        <f t="shared" si="4"/>
        <v>1.452</v>
      </c>
      <c r="L55" s="24">
        <f t="shared" si="5"/>
        <v>1.21</v>
      </c>
      <c r="M55" s="16"/>
      <c r="N55" s="15"/>
    </row>
    <row r="56" spans="1:14" x14ac:dyDescent="0.45">
      <c r="B56" t="s">
        <v>265</v>
      </c>
      <c r="C56" t="s">
        <v>241</v>
      </c>
      <c r="D56" t="s">
        <v>185</v>
      </c>
      <c r="E56" s="27" t="s">
        <v>324</v>
      </c>
      <c r="F56" s="19" t="s">
        <v>325</v>
      </c>
      <c r="G56">
        <v>2</v>
      </c>
      <c r="I56" s="14">
        <f t="shared" si="3"/>
        <v>1.1279999999999999</v>
      </c>
      <c r="J56" s="14">
        <v>0.94</v>
      </c>
      <c r="K56" s="14">
        <f t="shared" si="4"/>
        <v>2.2559999999999998</v>
      </c>
      <c r="L56" s="24">
        <f t="shared" si="5"/>
        <v>1.88</v>
      </c>
      <c r="M56" s="16"/>
      <c r="N56" s="15"/>
    </row>
    <row r="57" spans="1:14" x14ac:dyDescent="0.45">
      <c r="B57" t="s">
        <v>265</v>
      </c>
      <c r="C57" t="s">
        <v>229</v>
      </c>
      <c r="D57" t="s">
        <v>185</v>
      </c>
      <c r="E57" s="27" t="s">
        <v>231</v>
      </c>
      <c r="F57" s="19" t="s">
        <v>326</v>
      </c>
      <c r="G57">
        <v>3</v>
      </c>
      <c r="I57" s="14">
        <f t="shared" si="3"/>
        <v>0.49199999999999994</v>
      </c>
      <c r="J57" s="14">
        <v>0.41</v>
      </c>
      <c r="K57" s="14">
        <f t="shared" si="4"/>
        <v>1.4759999999999998</v>
      </c>
      <c r="L57" s="24">
        <f t="shared" si="5"/>
        <v>1.23</v>
      </c>
      <c r="M57" s="16"/>
      <c r="N57" s="15"/>
    </row>
    <row r="58" spans="1:14" x14ac:dyDescent="0.45">
      <c r="B58" t="s">
        <v>265</v>
      </c>
      <c r="C58" t="s">
        <v>328</v>
      </c>
      <c r="D58" t="s">
        <v>185</v>
      </c>
      <c r="E58" s="27" t="s">
        <v>327</v>
      </c>
      <c r="F58" s="19" t="s">
        <v>329</v>
      </c>
      <c r="G58">
        <v>2</v>
      </c>
      <c r="I58" s="14">
        <f t="shared" si="3"/>
        <v>0.27600000000000002</v>
      </c>
      <c r="J58" s="14">
        <v>0.23</v>
      </c>
      <c r="K58" s="14">
        <f t="shared" si="4"/>
        <v>0.55200000000000005</v>
      </c>
      <c r="L58" s="24">
        <f t="shared" si="5"/>
        <v>0.46</v>
      </c>
      <c r="M58" s="16"/>
      <c r="N58" s="15"/>
    </row>
    <row r="59" spans="1:14" x14ac:dyDescent="0.45">
      <c r="B59" t="s">
        <v>265</v>
      </c>
      <c r="C59" t="s">
        <v>331</v>
      </c>
      <c r="D59" t="s">
        <v>185</v>
      </c>
      <c r="E59" s="27" t="s">
        <v>234</v>
      </c>
      <c r="F59" s="19" t="s">
        <v>330</v>
      </c>
      <c r="G59">
        <v>1</v>
      </c>
      <c r="I59" s="14">
        <f t="shared" si="3"/>
        <v>0.108</v>
      </c>
      <c r="J59" s="14">
        <v>0.09</v>
      </c>
      <c r="K59" s="14">
        <f t="shared" si="4"/>
        <v>0.108</v>
      </c>
      <c r="L59" s="24">
        <f t="shared" si="5"/>
        <v>0.09</v>
      </c>
      <c r="M59" s="16"/>
      <c r="N59" s="15"/>
    </row>
    <row r="60" spans="1:14" x14ac:dyDescent="0.45">
      <c r="B60" t="s">
        <v>265</v>
      </c>
      <c r="C60" t="s">
        <v>334</v>
      </c>
      <c r="D60" t="s">
        <v>185</v>
      </c>
      <c r="E60" s="27" t="s">
        <v>332</v>
      </c>
      <c r="F60" s="19" t="s">
        <v>333</v>
      </c>
      <c r="G60">
        <v>2</v>
      </c>
      <c r="I60" s="14">
        <f t="shared" si="3"/>
        <v>0.13200000000000001</v>
      </c>
      <c r="J60" s="14">
        <v>0.11</v>
      </c>
      <c r="K60" s="14">
        <f t="shared" si="4"/>
        <v>0.26400000000000001</v>
      </c>
      <c r="L60" s="24">
        <f t="shared" si="5"/>
        <v>0.22</v>
      </c>
      <c r="M60" s="16"/>
      <c r="N60" s="15"/>
    </row>
    <row r="61" spans="1:14" x14ac:dyDescent="0.45">
      <c r="B61" t="s">
        <v>265</v>
      </c>
      <c r="C61" t="s">
        <v>337</v>
      </c>
      <c r="D61" t="s">
        <v>185</v>
      </c>
      <c r="E61" s="27" t="s">
        <v>335</v>
      </c>
      <c r="F61" s="19" t="s">
        <v>336</v>
      </c>
      <c r="G61">
        <v>1</v>
      </c>
      <c r="I61" s="14">
        <f t="shared" si="3"/>
        <v>0.108</v>
      </c>
      <c r="J61" s="14">
        <v>0.09</v>
      </c>
      <c r="K61" s="14">
        <f t="shared" si="4"/>
        <v>0.108</v>
      </c>
      <c r="L61" s="24">
        <f t="shared" si="5"/>
        <v>0.09</v>
      </c>
      <c r="M61" s="16"/>
      <c r="N61" s="15"/>
    </row>
    <row r="62" spans="1:14" x14ac:dyDescent="0.45">
      <c r="B62" t="s">
        <v>265</v>
      </c>
      <c r="C62" t="s">
        <v>340</v>
      </c>
      <c r="D62" t="s">
        <v>185</v>
      </c>
      <c r="E62" s="27" t="s">
        <v>338</v>
      </c>
      <c r="F62" s="19" t="s">
        <v>339</v>
      </c>
      <c r="G62">
        <v>1</v>
      </c>
      <c r="I62" s="14">
        <f t="shared" si="3"/>
        <v>0.12</v>
      </c>
      <c r="J62" s="14">
        <v>0.1</v>
      </c>
      <c r="K62" s="14">
        <f t="shared" si="4"/>
        <v>0.12</v>
      </c>
      <c r="L62" s="24">
        <f t="shared" si="5"/>
        <v>0.1</v>
      </c>
      <c r="M62" s="16"/>
      <c r="N62" s="15"/>
    </row>
    <row r="63" spans="1:14" x14ac:dyDescent="0.45">
      <c r="B63" t="s">
        <v>265</v>
      </c>
      <c r="C63" t="s">
        <v>343</v>
      </c>
      <c r="D63" t="s">
        <v>185</v>
      </c>
      <c r="E63" s="27" t="s">
        <v>341</v>
      </c>
      <c r="F63" s="19" t="s">
        <v>342</v>
      </c>
      <c r="G63">
        <v>1</v>
      </c>
      <c r="I63" s="14">
        <f t="shared" si="3"/>
        <v>0.40800000000000003</v>
      </c>
      <c r="J63" s="14">
        <v>0.34</v>
      </c>
      <c r="K63" s="14">
        <f t="shared" si="4"/>
        <v>0.40800000000000003</v>
      </c>
      <c r="L63" s="24">
        <f t="shared" si="5"/>
        <v>0.34</v>
      </c>
      <c r="M63" s="16"/>
      <c r="N63" s="15"/>
    </row>
    <row r="64" spans="1:14" x14ac:dyDescent="0.45">
      <c r="A64" s="32"/>
      <c r="B64" t="s">
        <v>265</v>
      </c>
      <c r="C64" t="s">
        <v>346</v>
      </c>
      <c r="D64" t="s">
        <v>185</v>
      </c>
      <c r="E64" s="27" t="s">
        <v>344</v>
      </c>
      <c r="F64" s="19" t="s">
        <v>345</v>
      </c>
      <c r="G64">
        <v>1</v>
      </c>
      <c r="I64" s="14">
        <f t="shared" si="3"/>
        <v>0.108</v>
      </c>
      <c r="J64" s="14">
        <v>0.09</v>
      </c>
      <c r="K64" s="14">
        <f t="shared" si="4"/>
        <v>0.108</v>
      </c>
      <c r="L64" s="24">
        <f t="shared" si="5"/>
        <v>0.09</v>
      </c>
      <c r="M64" s="16"/>
      <c r="N64" s="15"/>
    </row>
    <row r="65" spans="2:15" x14ac:dyDescent="0.45">
      <c r="B65" t="s">
        <v>265</v>
      </c>
      <c r="C65" t="s">
        <v>349</v>
      </c>
      <c r="D65" t="s">
        <v>185</v>
      </c>
      <c r="E65" s="27" t="s">
        <v>347</v>
      </c>
      <c r="F65" s="19" t="s">
        <v>348</v>
      </c>
      <c r="G65">
        <v>1</v>
      </c>
      <c r="I65" s="14">
        <f t="shared" si="3"/>
        <v>0.69599999999999995</v>
      </c>
      <c r="J65" s="14">
        <v>0.57999999999999996</v>
      </c>
      <c r="K65" s="14">
        <f t="shared" si="4"/>
        <v>0.69599999999999995</v>
      </c>
      <c r="L65" s="24">
        <f t="shared" si="5"/>
        <v>0.57999999999999996</v>
      </c>
      <c r="M65" s="16"/>
      <c r="N65" s="15"/>
    </row>
    <row r="66" spans="2:15" x14ac:dyDescent="0.45">
      <c r="B66" t="s">
        <v>265</v>
      </c>
      <c r="C66" t="s">
        <v>352</v>
      </c>
      <c r="D66" t="s">
        <v>185</v>
      </c>
      <c r="E66" s="27" t="s">
        <v>350</v>
      </c>
      <c r="F66" s="19" t="s">
        <v>351</v>
      </c>
      <c r="G66">
        <v>1</v>
      </c>
      <c r="I66" s="14">
        <f t="shared" si="3"/>
        <v>0.6</v>
      </c>
      <c r="J66" s="14">
        <v>0.5</v>
      </c>
      <c r="K66" s="14">
        <f t="shared" si="4"/>
        <v>0.6</v>
      </c>
      <c r="L66" s="24">
        <f t="shared" si="5"/>
        <v>0.5</v>
      </c>
      <c r="M66" s="16"/>
      <c r="N66" s="15"/>
    </row>
    <row r="67" spans="2:15" x14ac:dyDescent="0.45">
      <c r="B67" t="s">
        <v>265</v>
      </c>
      <c r="C67" t="s">
        <v>354</v>
      </c>
      <c r="D67" t="s">
        <v>185</v>
      </c>
      <c r="E67" s="27" t="s">
        <v>236</v>
      </c>
      <c r="F67" s="19" t="s">
        <v>353</v>
      </c>
      <c r="G67">
        <v>1</v>
      </c>
      <c r="I67" s="14">
        <f t="shared" si="3"/>
        <v>0.108</v>
      </c>
      <c r="J67" s="14">
        <v>0.09</v>
      </c>
      <c r="K67" s="14">
        <f t="shared" si="4"/>
        <v>0.108</v>
      </c>
      <c r="L67" s="24">
        <f t="shared" si="5"/>
        <v>0.09</v>
      </c>
      <c r="M67" s="16"/>
      <c r="N67" s="15"/>
    </row>
    <row r="68" spans="2:15" x14ac:dyDescent="0.45">
      <c r="B68" t="s">
        <v>265</v>
      </c>
      <c r="C68" t="s">
        <v>357</v>
      </c>
      <c r="D68" t="s">
        <v>185</v>
      </c>
      <c r="E68" s="27" t="s">
        <v>355</v>
      </c>
      <c r="F68" s="19" t="s">
        <v>356</v>
      </c>
      <c r="G68">
        <v>1</v>
      </c>
      <c r="I68" s="14">
        <f t="shared" si="3"/>
        <v>0.108</v>
      </c>
      <c r="J68" s="14">
        <v>0.09</v>
      </c>
      <c r="K68" s="14">
        <f t="shared" si="4"/>
        <v>0.108</v>
      </c>
      <c r="L68" s="24">
        <f t="shared" si="5"/>
        <v>0.09</v>
      </c>
      <c r="M68" s="16"/>
      <c r="N68" s="15"/>
    </row>
    <row r="69" spans="2:15" x14ac:dyDescent="0.45">
      <c r="B69" t="s">
        <v>265</v>
      </c>
      <c r="C69" t="s">
        <v>360</v>
      </c>
      <c r="D69" t="s">
        <v>185</v>
      </c>
      <c r="E69" s="27" t="s">
        <v>358</v>
      </c>
      <c r="F69" t="s">
        <v>359</v>
      </c>
      <c r="G69">
        <v>2</v>
      </c>
      <c r="I69" s="14">
        <f t="shared" si="3"/>
        <v>0.108</v>
      </c>
      <c r="J69" s="14">
        <v>0.09</v>
      </c>
      <c r="K69" s="14">
        <f t="shared" si="4"/>
        <v>0.216</v>
      </c>
      <c r="L69" s="24">
        <f t="shared" si="5"/>
        <v>0.18</v>
      </c>
      <c r="M69" s="16"/>
      <c r="N69" s="15"/>
    </row>
    <row r="70" spans="2:15" x14ac:dyDescent="0.45">
      <c r="B70" t="s">
        <v>265</v>
      </c>
      <c r="C70" t="s">
        <v>363</v>
      </c>
      <c r="D70" t="s">
        <v>185</v>
      </c>
      <c r="E70" s="27" t="s">
        <v>361</v>
      </c>
      <c r="F70" s="19" t="s">
        <v>362</v>
      </c>
      <c r="G70">
        <v>3</v>
      </c>
      <c r="I70" s="14">
        <f t="shared" si="3"/>
        <v>0.12</v>
      </c>
      <c r="J70" s="14">
        <v>0.1</v>
      </c>
      <c r="K70" s="14">
        <f t="shared" si="4"/>
        <v>0.36</v>
      </c>
      <c r="L70" s="24">
        <f t="shared" si="5"/>
        <v>0.30000000000000004</v>
      </c>
      <c r="M70" s="16"/>
      <c r="N70" s="15"/>
    </row>
    <row r="71" spans="2:15" x14ac:dyDescent="0.45">
      <c r="B71" t="s">
        <v>265</v>
      </c>
      <c r="C71" t="s">
        <v>364</v>
      </c>
      <c r="D71" t="s">
        <v>185</v>
      </c>
      <c r="E71" s="27" t="s">
        <v>365</v>
      </c>
      <c r="F71" s="19" t="s">
        <v>366</v>
      </c>
      <c r="G71">
        <v>1</v>
      </c>
      <c r="I71" s="14">
        <f t="shared" si="3"/>
        <v>0.99599999999999989</v>
      </c>
      <c r="J71" s="14">
        <v>0.83</v>
      </c>
      <c r="K71" s="14">
        <f t="shared" si="4"/>
        <v>0.99599999999999989</v>
      </c>
      <c r="L71" s="24">
        <f t="shared" si="5"/>
        <v>0.83</v>
      </c>
      <c r="M71" s="16"/>
      <c r="N71" s="15"/>
    </row>
    <row r="72" spans="2:15" x14ac:dyDescent="0.45">
      <c r="B72" t="s">
        <v>265</v>
      </c>
      <c r="C72" t="s">
        <v>369</v>
      </c>
      <c r="D72" t="s">
        <v>185</v>
      </c>
      <c r="E72" s="27" t="s">
        <v>367</v>
      </c>
      <c r="F72" s="19" t="s">
        <v>368</v>
      </c>
      <c r="G72">
        <v>1</v>
      </c>
      <c r="I72" s="14">
        <f t="shared" si="3"/>
        <v>7.032</v>
      </c>
      <c r="J72" s="14">
        <v>5.86</v>
      </c>
      <c r="K72" s="14">
        <f t="shared" si="4"/>
        <v>7.032</v>
      </c>
      <c r="L72" s="24">
        <f t="shared" si="5"/>
        <v>5.86</v>
      </c>
      <c r="M72" s="16"/>
      <c r="N72" s="15"/>
    </row>
    <row r="73" spans="2:15" x14ac:dyDescent="0.45">
      <c r="B73" t="s">
        <v>265</v>
      </c>
      <c r="C73" t="s">
        <v>372</v>
      </c>
      <c r="D73" t="s">
        <v>185</v>
      </c>
      <c r="E73" s="27" t="s">
        <v>370</v>
      </c>
      <c r="F73" s="19" t="s">
        <v>371</v>
      </c>
      <c r="G73">
        <v>1</v>
      </c>
      <c r="I73" s="14">
        <f t="shared" si="3"/>
        <v>3.7199999999999998</v>
      </c>
      <c r="J73" s="14">
        <v>3.1</v>
      </c>
      <c r="K73" s="14">
        <f t="shared" si="4"/>
        <v>3.7199999999999998</v>
      </c>
      <c r="L73" s="24">
        <f t="shared" si="5"/>
        <v>3.1</v>
      </c>
      <c r="M73" s="16"/>
      <c r="N73" s="15"/>
    </row>
    <row r="74" spans="2:15" x14ac:dyDescent="0.45">
      <c r="B74" t="s">
        <v>265</v>
      </c>
      <c r="C74" t="s">
        <v>177</v>
      </c>
      <c r="D74" t="s">
        <v>373</v>
      </c>
      <c r="E74" s="27" t="s">
        <v>374</v>
      </c>
      <c r="F74" s="19" t="s">
        <v>375</v>
      </c>
      <c r="G74">
        <v>4</v>
      </c>
      <c r="I74" s="14">
        <f t="shared" si="3"/>
        <v>2.2559999999999998</v>
      </c>
      <c r="J74" s="14">
        <v>1.88</v>
      </c>
      <c r="K74" s="14">
        <f t="shared" si="4"/>
        <v>9.0239999999999991</v>
      </c>
      <c r="L74" s="24">
        <f t="shared" si="5"/>
        <v>7.52</v>
      </c>
      <c r="M74" s="16"/>
      <c r="N74" s="15"/>
    </row>
    <row r="75" spans="2:15" x14ac:dyDescent="0.45">
      <c r="B75" t="s">
        <v>265</v>
      </c>
      <c r="C75" t="s">
        <v>378</v>
      </c>
      <c r="D75" t="s">
        <v>185</v>
      </c>
      <c r="E75" s="27" t="s">
        <v>376</v>
      </c>
      <c r="F75" s="19" t="s">
        <v>377</v>
      </c>
      <c r="G75">
        <v>1</v>
      </c>
      <c r="I75" s="14">
        <f t="shared" si="3"/>
        <v>3.492</v>
      </c>
      <c r="J75" s="14">
        <v>2.91</v>
      </c>
      <c r="K75" s="14">
        <f t="shared" si="4"/>
        <v>3.492</v>
      </c>
      <c r="L75" s="24">
        <f t="shared" si="5"/>
        <v>2.91</v>
      </c>
      <c r="M75" s="16"/>
      <c r="N75" s="15"/>
    </row>
    <row r="76" spans="2:15" x14ac:dyDescent="0.45">
      <c r="B76" s="2"/>
      <c r="C76" s="2"/>
      <c r="E76" s="2"/>
      <c r="F76" s="6"/>
      <c r="G76" s="2"/>
      <c r="H76" s="2"/>
      <c r="I76" s="25"/>
      <c r="J76" s="25"/>
      <c r="K76" s="25"/>
      <c r="L76" s="26"/>
      <c r="M76" s="12"/>
      <c r="N76" s="12"/>
      <c r="O76" s="2"/>
    </row>
    <row r="77" spans="2:15" x14ac:dyDescent="0.45">
      <c r="D77" s="30"/>
      <c r="I77" s="3"/>
      <c r="J77" s="3"/>
      <c r="K77" s="5">
        <f>SUBTOTAL(9, K4:K76)</f>
        <v>164.50320000000002</v>
      </c>
      <c r="L77" s="5">
        <f>SUBTOTAL(9, L4:L76)</f>
        <v>137.08600000000001</v>
      </c>
      <c r="M77" s="5"/>
      <c r="N77" s="17">
        <f>SUBTOTAL(9, N4:N76)</f>
        <v>0</v>
      </c>
      <c r="O77" s="10" t="s">
        <v>14</v>
      </c>
    </row>
    <row r="81" spans="4:14" ht="15" customHeight="1" x14ac:dyDescent="0.45">
      <c r="D81" s="11"/>
    </row>
    <row r="84" spans="4:14" x14ac:dyDescent="0.45">
      <c r="F84" s="7"/>
      <c r="I84" s="8"/>
      <c r="J84" s="8"/>
      <c r="K84" s="8"/>
      <c r="L84" s="8"/>
      <c r="M84" s="8"/>
      <c r="N84" s="8"/>
    </row>
    <row r="86" spans="4:14" x14ac:dyDescent="0.45">
      <c r="F86" s="7"/>
    </row>
    <row r="93" spans="4:14" x14ac:dyDescent="0.45">
      <c r="H93" s="9"/>
    </row>
  </sheetData>
  <autoFilter ref="B3:O4" xr:uid="{00000000-0009-0000-0000-000000000000}"/>
  <hyperlinks>
    <hyperlink ref="F14" r:id="rId1" xr:uid="{071A4445-529C-4F26-89DD-8CCF197E0F5A}"/>
    <hyperlink ref="F23" r:id="rId2" xr:uid="{3F80F80D-E07D-4A0F-915D-33579B79E009}"/>
    <hyperlink ref="F24" r:id="rId3" xr:uid="{3324C705-C335-42F3-969A-C4EAD3EA1B69}"/>
    <hyperlink ref="F25" r:id="rId4" xr:uid="{9841B8BF-59EF-47BB-A584-9C10791A2079}"/>
    <hyperlink ref="F16" r:id="rId5" xr:uid="{EBA65772-6458-472F-AA5F-5636E6556499}"/>
    <hyperlink ref="F8" r:id="rId6" xr:uid="{AF630448-8F16-4823-B3EC-B153EC9F377E}"/>
    <hyperlink ref="F31" r:id="rId7" xr:uid="{B1E9B6B1-C697-4F2D-A4EF-16B01FFB45B5}"/>
    <hyperlink ref="F64" r:id="rId8" xr:uid="{0CD72EC3-D9AA-42B9-B131-3F00716C4247}"/>
  </hyperlinks>
  <pageMargins left="0.7" right="0.7" top="0.78740157499999996" bottom="0.78740157499999996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47"/>
  <sheetViews>
    <sheetView topLeftCell="C25" workbookViewId="0">
      <selection activeCell="G14" sqref="G14"/>
    </sheetView>
  </sheetViews>
  <sheetFormatPr baseColWidth="10" defaultColWidth="11.3984375" defaultRowHeight="14.25" x14ac:dyDescent="0.45"/>
  <cols>
    <col min="2" max="2" width="26.73046875" bestFit="1" customWidth="1"/>
    <col min="3" max="3" width="44.86328125" bestFit="1" customWidth="1"/>
    <col min="4" max="4" width="55.73046875" bestFit="1" customWidth="1"/>
    <col min="5" max="5" width="11.86328125" bestFit="1" customWidth="1"/>
    <col min="6" max="6" width="71.86328125" bestFit="1" customWidth="1"/>
  </cols>
  <sheetData>
    <row r="3" spans="2:6" x14ac:dyDescent="0.45">
      <c r="B3" s="1" t="s">
        <v>2</v>
      </c>
      <c r="C3" s="1" t="s">
        <v>15</v>
      </c>
      <c r="D3" s="1" t="s">
        <v>4</v>
      </c>
      <c r="E3" s="1" t="s">
        <v>16</v>
      </c>
      <c r="F3" s="1" t="s">
        <v>13</v>
      </c>
    </row>
    <row r="4" spans="2:6" x14ac:dyDescent="0.45">
      <c r="B4" t="s">
        <v>17</v>
      </c>
      <c r="C4" t="s">
        <v>18</v>
      </c>
      <c r="D4" s="19" t="s">
        <v>19</v>
      </c>
      <c r="E4" t="s">
        <v>20</v>
      </c>
      <c r="F4" t="s">
        <v>21</v>
      </c>
    </row>
    <row r="5" spans="2:6" x14ac:dyDescent="0.45">
      <c r="B5" t="s">
        <v>22</v>
      </c>
      <c r="C5" t="s">
        <v>23</v>
      </c>
      <c r="D5" s="19" t="s">
        <v>24</v>
      </c>
      <c r="E5" t="s">
        <v>23</v>
      </c>
      <c r="F5" t="s">
        <v>25</v>
      </c>
    </row>
    <row r="6" spans="2:6" x14ac:dyDescent="0.45">
      <c r="B6" t="s">
        <v>26</v>
      </c>
      <c r="C6" t="s">
        <v>27</v>
      </c>
      <c r="D6" s="19" t="s">
        <v>28</v>
      </c>
      <c r="E6" t="s">
        <v>20</v>
      </c>
      <c r="F6" t="s">
        <v>29</v>
      </c>
    </row>
    <row r="7" spans="2:6" x14ac:dyDescent="0.45">
      <c r="B7" t="s">
        <v>30</v>
      </c>
      <c r="C7" t="s">
        <v>31</v>
      </c>
      <c r="D7" s="19" t="s">
        <v>32</v>
      </c>
      <c r="E7" t="s">
        <v>20</v>
      </c>
    </row>
    <row r="8" spans="2:6" x14ac:dyDescent="0.45">
      <c r="B8" t="s">
        <v>33</v>
      </c>
      <c r="C8" t="s">
        <v>34</v>
      </c>
      <c r="D8" s="19" t="s">
        <v>35</v>
      </c>
      <c r="E8" t="s">
        <v>36</v>
      </c>
    </row>
    <row r="9" spans="2:6" x14ac:dyDescent="0.45">
      <c r="B9" t="s">
        <v>37</v>
      </c>
      <c r="C9" t="s">
        <v>38</v>
      </c>
      <c r="D9" s="19" t="s">
        <v>39</v>
      </c>
      <c r="E9" t="s">
        <v>20</v>
      </c>
    </row>
    <row r="10" spans="2:6" x14ac:dyDescent="0.45">
      <c r="B10" t="s">
        <v>40</v>
      </c>
      <c r="C10" t="s">
        <v>34</v>
      </c>
      <c r="D10" s="19" t="s">
        <v>41</v>
      </c>
      <c r="E10" t="s">
        <v>36</v>
      </c>
    </row>
    <row r="11" spans="2:6" x14ac:dyDescent="0.45">
      <c r="B11" t="s">
        <v>42</v>
      </c>
      <c r="C11" t="s">
        <v>34</v>
      </c>
      <c r="D11" s="19" t="s">
        <v>43</v>
      </c>
      <c r="E11" t="s">
        <v>36</v>
      </c>
    </row>
    <row r="12" spans="2:6" x14ac:dyDescent="0.45">
      <c r="B12" t="s">
        <v>44</v>
      </c>
      <c r="C12" t="s">
        <v>45</v>
      </c>
      <c r="D12" s="19" t="s">
        <v>46</v>
      </c>
      <c r="E12" t="s">
        <v>23</v>
      </c>
    </row>
    <row r="13" spans="2:6" x14ac:dyDescent="0.45">
      <c r="B13" t="s">
        <v>47</v>
      </c>
      <c r="C13" t="s">
        <v>34</v>
      </c>
      <c r="D13" s="19" t="s">
        <v>48</v>
      </c>
      <c r="E13" t="s">
        <v>36</v>
      </c>
    </row>
    <row r="14" spans="2:6" x14ac:dyDescent="0.45">
      <c r="B14" t="s">
        <v>49</v>
      </c>
      <c r="C14" t="s">
        <v>50</v>
      </c>
      <c r="D14" s="19" t="s">
        <v>51</v>
      </c>
      <c r="E14" t="s">
        <v>20</v>
      </c>
    </row>
    <row r="15" spans="2:6" x14ac:dyDescent="0.45">
      <c r="B15" t="s">
        <v>52</v>
      </c>
      <c r="C15" t="s">
        <v>34</v>
      </c>
      <c r="D15" s="19" t="s">
        <v>53</v>
      </c>
      <c r="E15" t="s">
        <v>36</v>
      </c>
    </row>
    <row r="16" spans="2:6" x14ac:dyDescent="0.45">
      <c r="B16" t="s">
        <v>54</v>
      </c>
      <c r="C16" t="s">
        <v>55</v>
      </c>
      <c r="D16" s="19" t="s">
        <v>56</v>
      </c>
      <c r="E16" t="s">
        <v>36</v>
      </c>
    </row>
    <row r="17" spans="2:6" x14ac:dyDescent="0.45">
      <c r="B17" t="s">
        <v>57</v>
      </c>
      <c r="C17" t="s">
        <v>58</v>
      </c>
      <c r="D17" s="19" t="s">
        <v>59</v>
      </c>
      <c r="E17" t="s">
        <v>20</v>
      </c>
    </row>
    <row r="18" spans="2:6" x14ac:dyDescent="0.45">
      <c r="B18" t="s">
        <v>60</v>
      </c>
      <c r="C18" t="s">
        <v>61</v>
      </c>
      <c r="D18" s="19" t="s">
        <v>62</v>
      </c>
      <c r="E18" t="s">
        <v>20</v>
      </c>
    </row>
    <row r="19" spans="2:6" x14ac:dyDescent="0.45">
      <c r="B19" t="s">
        <v>63</v>
      </c>
      <c r="C19" t="s">
        <v>64</v>
      </c>
      <c r="D19" s="19" t="s">
        <v>65</v>
      </c>
      <c r="E19" t="s">
        <v>20</v>
      </c>
      <c r="F19" t="s">
        <v>66</v>
      </c>
    </row>
    <row r="20" spans="2:6" x14ac:dyDescent="0.45">
      <c r="B20" t="s">
        <v>67</v>
      </c>
      <c r="C20" t="s">
        <v>61</v>
      </c>
      <c r="D20" s="19" t="s">
        <v>68</v>
      </c>
      <c r="E20" t="s">
        <v>20</v>
      </c>
      <c r="F20" t="s">
        <v>69</v>
      </c>
    </row>
    <row r="21" spans="2:6" x14ac:dyDescent="0.45">
      <c r="B21" t="s">
        <v>70</v>
      </c>
      <c r="C21" t="s">
        <v>71</v>
      </c>
      <c r="D21" s="19" t="s">
        <v>72</v>
      </c>
      <c r="E21" t="s">
        <v>20</v>
      </c>
      <c r="F21" t="s">
        <v>73</v>
      </c>
    </row>
    <row r="22" spans="2:6" x14ac:dyDescent="0.45">
      <c r="B22" t="s">
        <v>74</v>
      </c>
      <c r="C22" t="s">
        <v>38</v>
      </c>
      <c r="D22" s="19" t="s">
        <v>75</v>
      </c>
      <c r="E22" t="s">
        <v>20</v>
      </c>
    </row>
    <row r="23" spans="2:6" x14ac:dyDescent="0.45">
      <c r="B23" t="s">
        <v>76</v>
      </c>
      <c r="C23" t="s">
        <v>61</v>
      </c>
      <c r="D23" s="19" t="s">
        <v>77</v>
      </c>
      <c r="E23" t="s">
        <v>20</v>
      </c>
    </row>
    <row r="24" spans="2:6" x14ac:dyDescent="0.45">
      <c r="B24" t="s">
        <v>78</v>
      </c>
      <c r="C24" t="s">
        <v>79</v>
      </c>
      <c r="D24" s="19" t="s">
        <v>80</v>
      </c>
      <c r="E24" t="s">
        <v>20</v>
      </c>
    </row>
    <row r="25" spans="2:6" x14ac:dyDescent="0.45">
      <c r="B25" t="s">
        <v>81</v>
      </c>
      <c r="C25" t="s">
        <v>82</v>
      </c>
      <c r="D25" s="19" t="s">
        <v>83</v>
      </c>
      <c r="E25" t="s">
        <v>20</v>
      </c>
      <c r="F25" t="s">
        <v>84</v>
      </c>
    </row>
    <row r="26" spans="2:6" x14ac:dyDescent="0.45">
      <c r="B26" t="s">
        <v>85</v>
      </c>
      <c r="C26" t="s">
        <v>86</v>
      </c>
      <c r="D26" s="19" t="s">
        <v>87</v>
      </c>
      <c r="E26" t="s">
        <v>20</v>
      </c>
    </row>
    <row r="27" spans="2:6" x14ac:dyDescent="0.45">
      <c r="B27" t="s">
        <v>88</v>
      </c>
      <c r="C27" t="s">
        <v>89</v>
      </c>
      <c r="D27" s="19" t="s">
        <v>90</v>
      </c>
      <c r="E27" t="s">
        <v>20</v>
      </c>
    </row>
    <row r="28" spans="2:6" x14ac:dyDescent="0.45">
      <c r="B28" t="s">
        <v>91</v>
      </c>
      <c r="C28" t="s">
        <v>38</v>
      </c>
      <c r="D28" s="19" t="s">
        <v>92</v>
      </c>
      <c r="E28" t="s">
        <v>20</v>
      </c>
      <c r="F28" t="s">
        <v>73</v>
      </c>
    </row>
    <row r="29" spans="2:6" x14ac:dyDescent="0.45">
      <c r="B29" t="s">
        <v>93</v>
      </c>
      <c r="C29" t="s">
        <v>50</v>
      </c>
      <c r="D29" s="19" t="s">
        <v>94</v>
      </c>
      <c r="E29" t="s">
        <v>20</v>
      </c>
    </row>
    <row r="30" spans="2:6" x14ac:dyDescent="0.45">
      <c r="B30" t="s">
        <v>95</v>
      </c>
      <c r="C30" t="s">
        <v>34</v>
      </c>
      <c r="D30" s="19" t="s">
        <v>96</v>
      </c>
      <c r="E30" t="s">
        <v>36</v>
      </c>
    </row>
    <row r="31" spans="2:6" x14ac:dyDescent="0.45">
      <c r="B31" t="s">
        <v>97</v>
      </c>
      <c r="C31" t="s">
        <v>50</v>
      </c>
      <c r="D31" s="19" t="s">
        <v>98</v>
      </c>
      <c r="E31" t="s">
        <v>20</v>
      </c>
    </row>
    <row r="32" spans="2:6" x14ac:dyDescent="0.45">
      <c r="B32" t="s">
        <v>99</v>
      </c>
      <c r="C32" t="s">
        <v>27</v>
      </c>
      <c r="D32" s="19" t="s">
        <v>100</v>
      </c>
      <c r="E32" t="s">
        <v>20</v>
      </c>
      <c r="F32" t="s">
        <v>29</v>
      </c>
    </row>
    <row r="33" spans="2:6" x14ac:dyDescent="0.45">
      <c r="B33" t="s">
        <v>101</v>
      </c>
      <c r="C33" t="s">
        <v>82</v>
      </c>
      <c r="D33" s="19" t="s">
        <v>102</v>
      </c>
      <c r="E33" t="s">
        <v>20</v>
      </c>
    </row>
    <row r="34" spans="2:6" x14ac:dyDescent="0.45">
      <c r="B34" t="s">
        <v>103</v>
      </c>
      <c r="C34" t="s">
        <v>58</v>
      </c>
      <c r="D34" s="19" t="s">
        <v>104</v>
      </c>
      <c r="E34" t="s">
        <v>20</v>
      </c>
    </row>
    <row r="35" spans="2:6" x14ac:dyDescent="0.45">
      <c r="B35" t="s">
        <v>105</v>
      </c>
      <c r="C35" t="s">
        <v>64</v>
      </c>
      <c r="D35" s="19" t="s">
        <v>106</v>
      </c>
      <c r="E35" t="s">
        <v>20</v>
      </c>
      <c r="F35" t="s">
        <v>107</v>
      </c>
    </row>
    <row r="36" spans="2:6" x14ac:dyDescent="0.45">
      <c r="B36" t="s">
        <v>108</v>
      </c>
      <c r="C36" t="s">
        <v>79</v>
      </c>
      <c r="D36" s="19" t="s">
        <v>109</v>
      </c>
      <c r="E36" t="s">
        <v>20</v>
      </c>
    </row>
    <row r="37" spans="2:6" x14ac:dyDescent="0.45">
      <c r="B37" t="s">
        <v>110</v>
      </c>
      <c r="C37" t="s">
        <v>34</v>
      </c>
      <c r="D37" s="19" t="s">
        <v>111</v>
      </c>
      <c r="E37" t="s">
        <v>36</v>
      </c>
    </row>
    <row r="38" spans="2:6" x14ac:dyDescent="0.45">
      <c r="B38" t="s">
        <v>112</v>
      </c>
      <c r="C38" t="s">
        <v>34</v>
      </c>
      <c r="D38" s="19" t="s">
        <v>113</v>
      </c>
      <c r="E38" t="s">
        <v>36</v>
      </c>
    </row>
    <row r="39" spans="2:6" x14ac:dyDescent="0.45">
      <c r="B39" t="s">
        <v>114</v>
      </c>
      <c r="C39" t="s">
        <v>115</v>
      </c>
      <c r="D39" s="19" t="s">
        <v>116</v>
      </c>
      <c r="E39" t="s">
        <v>23</v>
      </c>
      <c r="F39" t="s">
        <v>117</v>
      </c>
    </row>
    <row r="40" spans="2:6" x14ac:dyDescent="0.45">
      <c r="B40" t="s">
        <v>118</v>
      </c>
      <c r="C40" t="s">
        <v>119</v>
      </c>
      <c r="D40" s="19" t="s">
        <v>120</v>
      </c>
      <c r="E40" t="s">
        <v>20</v>
      </c>
    </row>
    <row r="41" spans="2:6" x14ac:dyDescent="0.45">
      <c r="B41" t="s">
        <v>121</v>
      </c>
      <c r="C41" t="s">
        <v>18</v>
      </c>
      <c r="D41" s="19" t="s">
        <v>122</v>
      </c>
      <c r="E41" t="s">
        <v>20</v>
      </c>
      <c r="F41" t="s">
        <v>123</v>
      </c>
    </row>
    <row r="42" spans="2:6" x14ac:dyDescent="0.45">
      <c r="B42" t="s">
        <v>124</v>
      </c>
      <c r="C42" t="s">
        <v>125</v>
      </c>
      <c r="D42" s="19" t="s">
        <v>126</v>
      </c>
      <c r="E42" t="s">
        <v>20</v>
      </c>
    </row>
    <row r="43" spans="2:6" x14ac:dyDescent="0.45">
      <c r="B43" t="s">
        <v>127</v>
      </c>
      <c r="C43" t="s">
        <v>128</v>
      </c>
      <c r="D43" s="19" t="s">
        <v>129</v>
      </c>
      <c r="E43" t="s">
        <v>20</v>
      </c>
    </row>
    <row r="44" spans="2:6" x14ac:dyDescent="0.45">
      <c r="B44" t="s">
        <v>130</v>
      </c>
      <c r="C44" t="s">
        <v>131</v>
      </c>
      <c r="D44" s="19" t="s">
        <v>132</v>
      </c>
      <c r="E44" t="s">
        <v>20</v>
      </c>
    </row>
    <row r="45" spans="2:6" x14ac:dyDescent="0.45">
      <c r="B45" t="s">
        <v>133</v>
      </c>
      <c r="C45" t="s">
        <v>50</v>
      </c>
      <c r="D45" s="19" t="s">
        <v>134</v>
      </c>
      <c r="E45" t="s">
        <v>20</v>
      </c>
      <c r="F45" t="s">
        <v>135</v>
      </c>
    </row>
    <row r="46" spans="2:6" x14ac:dyDescent="0.45">
      <c r="B46" t="s">
        <v>136</v>
      </c>
      <c r="C46" t="s">
        <v>137</v>
      </c>
      <c r="D46" s="19" t="s">
        <v>138</v>
      </c>
      <c r="E46" t="s">
        <v>20</v>
      </c>
      <c r="F46" t="s">
        <v>139</v>
      </c>
    </row>
    <row r="47" spans="2:6" x14ac:dyDescent="0.45">
      <c r="B47" t="s">
        <v>140</v>
      </c>
      <c r="C47" t="s">
        <v>141</v>
      </c>
      <c r="D47" s="19" t="s">
        <v>142</v>
      </c>
      <c r="E47" t="s">
        <v>20</v>
      </c>
      <c r="F47" t="s">
        <v>143</v>
      </c>
    </row>
  </sheetData>
  <autoFilter ref="B3:F47" xr:uid="{00000000-0009-0000-0000-000001000000}">
    <sortState xmlns:xlrd2="http://schemas.microsoft.com/office/spreadsheetml/2017/richdata2" ref="B4:G47">
      <sortCondition ref="B3:B47"/>
    </sortState>
  </autoFilter>
  <hyperlinks>
    <hyperlink ref="D9" r:id="rId1" xr:uid="{00000000-0004-0000-0100-000000000000}"/>
    <hyperlink ref="D18" r:id="rId2" xr:uid="{00000000-0004-0000-0100-000001000000}"/>
    <hyperlink ref="D30" r:id="rId3" xr:uid="{00000000-0004-0000-0100-000002000000}"/>
    <hyperlink ref="D21" r:id="rId4" xr:uid="{00000000-0004-0000-0100-000003000000}"/>
    <hyperlink ref="D14" r:id="rId5" xr:uid="{00000000-0004-0000-0100-000004000000}"/>
    <hyperlink ref="D41" r:id="rId6" xr:uid="{00000000-0004-0000-0100-000005000000}"/>
    <hyperlink ref="D4" r:id="rId7" xr:uid="{00000000-0004-0000-0100-000006000000}"/>
    <hyperlink ref="D16" r:id="rId8" xr:uid="{00000000-0004-0000-0100-000007000000}"/>
    <hyperlink ref="D25" r:id="rId9" xr:uid="{00000000-0004-0000-0100-000008000000}"/>
    <hyperlink ref="D31" r:id="rId10" xr:uid="{00000000-0004-0000-0100-000009000000}"/>
    <hyperlink ref="D5" r:id="rId11" xr:uid="{00000000-0004-0000-0100-00000A000000}"/>
    <hyperlink ref="D29" r:id="rId12" xr:uid="{00000000-0004-0000-0100-00000B000000}"/>
    <hyperlink ref="D10" r:id="rId13" xr:uid="{00000000-0004-0000-0100-00000C000000}"/>
    <hyperlink ref="D37" r:id="rId14" xr:uid="{00000000-0004-0000-0100-00000D000000}"/>
    <hyperlink ref="D8" r:id="rId15" xr:uid="{00000000-0004-0000-0100-00000E000000}"/>
    <hyperlink ref="D39" r:id="rId16" xr:uid="{00000000-0004-0000-0100-00000F000000}"/>
    <hyperlink ref="D22" r:id="rId17" xr:uid="{00000000-0004-0000-0100-000010000000}"/>
    <hyperlink ref="D28" r:id="rId18" xr:uid="{00000000-0004-0000-0100-000011000000}"/>
    <hyperlink ref="D20" r:id="rId19" xr:uid="{00000000-0004-0000-0100-000012000000}"/>
    <hyperlink ref="D34" r:id="rId20" xr:uid="{00000000-0004-0000-0100-000013000000}"/>
    <hyperlink ref="D17" r:id="rId21" xr:uid="{00000000-0004-0000-0100-000014000000}"/>
    <hyperlink ref="D27" r:id="rId22" xr:uid="{00000000-0004-0000-0100-000015000000}"/>
    <hyperlink ref="D23" r:id="rId23" xr:uid="{00000000-0004-0000-0100-000016000000}"/>
    <hyperlink ref="D24" r:id="rId24" xr:uid="{00000000-0004-0000-0100-000017000000}"/>
    <hyperlink ref="D36" r:id="rId25" xr:uid="{00000000-0004-0000-0100-000018000000}"/>
    <hyperlink ref="D43" r:id="rId26" xr:uid="{00000000-0004-0000-0100-000019000000}"/>
    <hyperlink ref="D47" r:id="rId27" xr:uid="{00000000-0004-0000-0100-00001A000000}"/>
    <hyperlink ref="D42" r:id="rId28" xr:uid="{00000000-0004-0000-0100-00001B000000}"/>
    <hyperlink ref="D26" r:id="rId29" xr:uid="{00000000-0004-0000-0100-00001C000000}"/>
    <hyperlink ref="D38" r:id="rId30" xr:uid="{00000000-0004-0000-0100-00001D000000}"/>
    <hyperlink ref="D45" r:id="rId31" xr:uid="{00000000-0004-0000-0100-00001E000000}"/>
    <hyperlink ref="D40" r:id="rId32" xr:uid="{00000000-0004-0000-0100-00001F000000}"/>
    <hyperlink ref="D19" r:id="rId33" xr:uid="{00000000-0004-0000-0100-000020000000}"/>
    <hyperlink ref="D35" r:id="rId34" xr:uid="{00000000-0004-0000-0100-000021000000}"/>
    <hyperlink ref="D13" r:id="rId35" xr:uid="{00000000-0004-0000-0100-000022000000}"/>
    <hyperlink ref="D15" r:id="rId36" xr:uid="{00000000-0004-0000-0100-000023000000}"/>
    <hyperlink ref="D11" r:id="rId37" xr:uid="{00000000-0004-0000-0100-000024000000}"/>
    <hyperlink ref="D12" r:id="rId38" xr:uid="{00000000-0004-0000-0100-000025000000}"/>
    <hyperlink ref="D7" r:id="rId39" xr:uid="{00000000-0004-0000-0100-000026000000}"/>
    <hyperlink ref="D46" r:id="rId40" xr:uid="{00000000-0004-0000-0100-000027000000}"/>
    <hyperlink ref="D44" r:id="rId41" xr:uid="{00000000-0004-0000-0100-000028000000}"/>
    <hyperlink ref="D32" r:id="rId42" xr:uid="{00000000-0004-0000-0100-000029000000}"/>
    <hyperlink ref="D6" r:id="rId43" xr:uid="{00000000-0004-0000-0100-00002A000000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B2:O27"/>
  <sheetViews>
    <sheetView zoomScale="130" zoomScaleNormal="130" workbookViewId="0">
      <selection activeCell="H7" sqref="H7"/>
    </sheetView>
  </sheetViews>
  <sheetFormatPr baseColWidth="10" defaultColWidth="11.3984375" defaultRowHeight="14.25" x14ac:dyDescent="0.45"/>
  <cols>
    <col min="2" max="2" width="7.73046875" bestFit="1" customWidth="1"/>
    <col min="3" max="3" width="28.265625" customWidth="1"/>
    <col min="4" max="4" width="13" customWidth="1"/>
    <col min="5" max="5" width="17" customWidth="1"/>
    <col min="6" max="6" width="28" customWidth="1"/>
    <col min="7" max="7" width="10.73046875" bestFit="1" customWidth="1"/>
    <col min="8" max="8" width="12.73046875" customWidth="1"/>
    <col min="9" max="9" width="15" bestFit="1" customWidth="1"/>
    <col min="10" max="10" width="14.59765625" bestFit="1" customWidth="1"/>
    <col min="11" max="11" width="12.86328125" bestFit="1" customWidth="1"/>
    <col min="12" max="12" width="12.3984375" bestFit="1" customWidth="1"/>
    <col min="13" max="13" width="8.59765625" customWidth="1"/>
    <col min="14" max="14" width="13.59765625" bestFit="1" customWidth="1"/>
    <col min="15" max="15" width="63.265625" bestFit="1" customWidth="1"/>
  </cols>
  <sheetData>
    <row r="2" spans="2:15" x14ac:dyDescent="0.45">
      <c r="G2" s="10"/>
      <c r="H2" s="10"/>
    </row>
    <row r="3" spans="2:15" x14ac:dyDescent="0.4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2:15" x14ac:dyDescent="0.45">
      <c r="B4" t="s">
        <v>144</v>
      </c>
      <c r="C4" t="s">
        <v>145</v>
      </c>
      <c r="D4" t="s">
        <v>33</v>
      </c>
      <c r="E4" s="18" t="s">
        <v>146</v>
      </c>
      <c r="F4" s="13" t="s">
        <v>147</v>
      </c>
      <c r="G4">
        <v>2</v>
      </c>
      <c r="I4" s="14">
        <v>23.988000953197478</v>
      </c>
      <c r="J4" s="14">
        <v>19.989999999999998</v>
      </c>
      <c r="K4" s="14">
        <f t="shared" ref="K4:K8" si="0">I4*G4*IF(ISBLANK(H4), 1, H4)</f>
        <v>47.976001906394956</v>
      </c>
      <c r="L4" s="14">
        <f t="shared" ref="L4:L8" si="1">K4/1.2</f>
        <v>39.980001588662468</v>
      </c>
      <c r="M4" s="16"/>
      <c r="N4" s="15"/>
    </row>
    <row r="5" spans="2:15" x14ac:dyDescent="0.45">
      <c r="B5" t="s">
        <v>144</v>
      </c>
      <c r="C5" t="s">
        <v>148</v>
      </c>
      <c r="D5" t="s">
        <v>33</v>
      </c>
      <c r="E5" s="18" t="s">
        <v>149</v>
      </c>
      <c r="F5" s="13" t="s">
        <v>150</v>
      </c>
      <c r="G5">
        <v>1</v>
      </c>
      <c r="I5" s="14">
        <v>4.4880001783370975</v>
      </c>
      <c r="J5" s="14">
        <v>3.74</v>
      </c>
      <c r="K5" s="14">
        <f t="shared" si="0"/>
        <v>4.4880001783370975</v>
      </c>
      <c r="L5" s="14">
        <f t="shared" si="1"/>
        <v>3.7400001486142482</v>
      </c>
      <c r="M5" s="16"/>
      <c r="N5" s="15"/>
    </row>
    <row r="6" spans="2:15" x14ac:dyDescent="0.45">
      <c r="B6" t="s">
        <v>151</v>
      </c>
      <c r="C6" t="s">
        <v>152</v>
      </c>
      <c r="D6" t="s">
        <v>70</v>
      </c>
      <c r="E6" t="s">
        <v>153</v>
      </c>
      <c r="F6" s="13" t="s">
        <v>154</v>
      </c>
      <c r="G6">
        <v>2E-8</v>
      </c>
      <c r="H6">
        <v>1.75</v>
      </c>
      <c r="I6" s="14">
        <v>58.89600234031677</v>
      </c>
      <c r="J6" s="14">
        <v>49.08</v>
      </c>
      <c r="K6" s="14">
        <f t="shared" si="0"/>
        <v>2.0613600819110871E-6</v>
      </c>
      <c r="L6" s="14">
        <f t="shared" si="1"/>
        <v>1.7178000682592392E-6</v>
      </c>
      <c r="M6" s="16">
        <v>4.53</v>
      </c>
      <c r="N6" s="15">
        <f>M6*H6*G6</f>
        <v>1.5855E-7</v>
      </c>
    </row>
    <row r="7" spans="2:15" x14ac:dyDescent="0.45">
      <c r="B7" t="s">
        <v>151</v>
      </c>
      <c r="C7" t="s">
        <v>152</v>
      </c>
      <c r="D7" t="s">
        <v>70</v>
      </c>
      <c r="E7" t="s">
        <v>153</v>
      </c>
      <c r="F7" s="13" t="s">
        <v>154</v>
      </c>
      <c r="G7">
        <v>2.9999999999999997E-8</v>
      </c>
      <c r="H7">
        <v>0.8</v>
      </c>
      <c r="I7" s="14">
        <v>58.89600234031677</v>
      </c>
      <c r="J7" s="14">
        <v>49.08</v>
      </c>
      <c r="K7" s="14">
        <f t="shared" si="0"/>
        <v>1.4135040561676024E-6</v>
      </c>
      <c r="L7" s="14">
        <f t="shared" si="1"/>
        <v>1.1779200468063354E-6</v>
      </c>
      <c r="M7" s="16">
        <v>4.53</v>
      </c>
      <c r="N7" s="15">
        <f>M7*H7*G7</f>
        <v>1.0872000000000001E-7</v>
      </c>
    </row>
    <row r="8" spans="2:15" x14ac:dyDescent="0.45">
      <c r="B8" t="s">
        <v>155</v>
      </c>
      <c r="C8" t="s">
        <v>156</v>
      </c>
      <c r="D8" t="s">
        <v>95</v>
      </c>
      <c r="E8" s="18" t="s">
        <v>157</v>
      </c>
      <c r="F8" s="13" t="s">
        <v>158</v>
      </c>
      <c r="G8">
        <v>50</v>
      </c>
      <c r="I8" s="14">
        <v>5.6000000000000001E-2</v>
      </c>
      <c r="J8" s="14">
        <v>4.6666664812300016E-2</v>
      </c>
      <c r="K8" s="14">
        <f t="shared" si="0"/>
        <v>2.8000000000000003</v>
      </c>
      <c r="L8" s="14">
        <f t="shared" si="1"/>
        <v>2.3333333333333335</v>
      </c>
      <c r="M8" s="16"/>
      <c r="N8" s="15"/>
      <c r="O8" t="s">
        <v>159</v>
      </c>
    </row>
    <row r="9" spans="2:15" x14ac:dyDescent="0.45">
      <c r="B9" s="2"/>
      <c r="C9" s="2"/>
      <c r="D9" s="2"/>
      <c r="E9" s="2"/>
      <c r="F9" s="6"/>
      <c r="G9" s="2"/>
      <c r="H9" s="2"/>
      <c r="I9" s="4"/>
      <c r="J9" s="4"/>
      <c r="K9" s="4"/>
      <c r="L9" s="4"/>
      <c r="M9" s="12"/>
      <c r="N9" s="12"/>
      <c r="O9" s="2"/>
    </row>
    <row r="10" spans="2:15" x14ac:dyDescent="0.45">
      <c r="I10" s="3"/>
      <c r="J10" s="3"/>
      <c r="K10" s="5">
        <f>SUBTOTAL(9, K4:K9)</f>
        <v>55.264005559596193</v>
      </c>
      <c r="L10" s="5">
        <f>SUBTOTAL(9, L4:L9)</f>
        <v>46.053337966330169</v>
      </c>
      <c r="M10" s="5"/>
      <c r="N10" s="17">
        <f>SUBTOTAL(9, N4:N9)</f>
        <v>2.6726999999999998E-7</v>
      </c>
      <c r="O10" s="10" t="s">
        <v>14</v>
      </c>
    </row>
    <row r="15" spans="2:15" ht="15" customHeight="1" x14ac:dyDescent="0.45">
      <c r="D15" s="11"/>
    </row>
    <row r="18" spans="6:14" x14ac:dyDescent="0.45">
      <c r="F18" s="7"/>
      <c r="I18" s="8"/>
      <c r="J18" s="8"/>
      <c r="K18" s="8"/>
      <c r="L18" s="8"/>
      <c r="M18" s="8"/>
      <c r="N18" s="8"/>
    </row>
    <row r="20" spans="6:14" x14ac:dyDescent="0.45">
      <c r="F20" s="7"/>
    </row>
    <row r="27" spans="6:14" x14ac:dyDescent="0.45">
      <c r="G27" s="9"/>
      <c r="H27" s="9"/>
    </row>
  </sheetData>
  <autoFilter ref="B3:O7" xr:uid="{00000000-0009-0000-0000-000002000000}"/>
  <hyperlinks>
    <hyperlink ref="F4" r:id="rId1" display="https://www.haberkorn.com/item-profilsysteme/mb-systembaukasten/profile-und-zubehoer/konstruktionsprofil/1093819-konstruktionsprofil-8-rastermass-40-mm?partNumber=Z12685" xr:uid="{00000000-0004-0000-0200-000000000000}"/>
    <hyperlink ref="F5" r:id="rId2" display="https://www.haberkorn.com/item-profilsysteme/mb-systembaukasten/profile-und-zubehoer/konstruktionsprofil/1093819-konstruktionsprofil-8-rastermass-40-mm?partNumber=Z12685" xr:uid="{00000000-0004-0000-0200-000001000000}"/>
    <hyperlink ref="F6" r:id="rId3" xr:uid="{00000000-0004-0000-0200-000002000000}"/>
    <hyperlink ref="F7" r:id="rId4" xr:uid="{00000000-0004-0000-0200-000003000000}"/>
    <hyperlink ref="F8" r:id="rId5" xr:uid="{8DEBB882-218E-4937-B0A2-C3A36A954EB4}"/>
  </hyperlinks>
  <pageMargins left="0.7" right="0.7" top="0.78740157499999996" bottom="0.78740157499999996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17"/>
  <sheetViews>
    <sheetView workbookViewId="0">
      <selection activeCell="F6" sqref="F6"/>
    </sheetView>
  </sheetViews>
  <sheetFormatPr baseColWidth="10" defaultColWidth="11.3984375" defaultRowHeight="14.25" x14ac:dyDescent="0.45"/>
  <cols>
    <col min="2" max="2" width="6.59765625" bestFit="1" customWidth="1"/>
    <col min="3" max="3" width="14.59765625" bestFit="1" customWidth="1"/>
    <col min="4" max="4" width="65.265625" bestFit="1" customWidth="1"/>
  </cols>
  <sheetData>
    <row r="3" spans="2:4" x14ac:dyDescent="0.45">
      <c r="B3" s="20" t="s">
        <v>160</v>
      </c>
      <c r="C3" s="1" t="s">
        <v>161</v>
      </c>
      <c r="D3" s="1" t="s">
        <v>15</v>
      </c>
    </row>
    <row r="4" spans="2:4" ht="28.5" x14ac:dyDescent="0.45">
      <c r="B4" s="21">
        <v>1</v>
      </c>
      <c r="C4" s="22" t="s">
        <v>0</v>
      </c>
      <c r="D4" s="23" t="s">
        <v>162</v>
      </c>
    </row>
    <row r="5" spans="2:4" x14ac:dyDescent="0.45">
      <c r="B5" s="21">
        <v>2</v>
      </c>
      <c r="C5" s="22" t="s">
        <v>1</v>
      </c>
      <c r="D5" s="22" t="s">
        <v>163</v>
      </c>
    </row>
    <row r="6" spans="2:4" x14ac:dyDescent="0.45">
      <c r="B6" s="21">
        <v>3</v>
      </c>
      <c r="C6" s="22" t="s">
        <v>2</v>
      </c>
      <c r="D6" s="22" t="s">
        <v>164</v>
      </c>
    </row>
    <row r="7" spans="2:4" x14ac:dyDescent="0.45">
      <c r="B7" s="21">
        <v>4</v>
      </c>
      <c r="C7" s="22" t="s">
        <v>3</v>
      </c>
      <c r="D7" s="22" t="s">
        <v>165</v>
      </c>
    </row>
    <row r="8" spans="2:4" x14ac:dyDescent="0.45">
      <c r="B8" s="21">
        <v>5</v>
      </c>
      <c r="C8" s="22" t="s">
        <v>4</v>
      </c>
      <c r="D8" s="22" t="s">
        <v>166</v>
      </c>
    </row>
    <row r="9" spans="2:4" x14ac:dyDescent="0.45">
      <c r="B9" s="21">
        <v>6</v>
      </c>
      <c r="C9" s="22" t="s">
        <v>5</v>
      </c>
      <c r="D9" s="22" t="s">
        <v>167</v>
      </c>
    </row>
    <row r="10" spans="2:4" x14ac:dyDescent="0.45">
      <c r="B10" s="21">
        <v>7</v>
      </c>
      <c r="C10" s="22" t="s">
        <v>6</v>
      </c>
      <c r="D10" s="22" t="s">
        <v>168</v>
      </c>
    </row>
    <row r="11" spans="2:4" ht="28.5" x14ac:dyDescent="0.45">
      <c r="B11" s="21">
        <v>8</v>
      </c>
      <c r="C11" s="22" t="s">
        <v>7</v>
      </c>
      <c r="D11" s="23" t="s">
        <v>169</v>
      </c>
    </row>
    <row r="12" spans="2:4" ht="28.5" x14ac:dyDescent="0.45">
      <c r="B12" s="21">
        <v>9</v>
      </c>
      <c r="C12" s="22" t="s">
        <v>8</v>
      </c>
      <c r="D12" s="23" t="s">
        <v>170</v>
      </c>
    </row>
    <row r="13" spans="2:4" x14ac:dyDescent="0.45">
      <c r="B13" s="21">
        <v>10</v>
      </c>
      <c r="C13" s="22" t="s">
        <v>9</v>
      </c>
      <c r="D13" s="22" t="s">
        <v>171</v>
      </c>
    </row>
    <row r="14" spans="2:4" x14ac:dyDescent="0.45">
      <c r="B14" s="21">
        <v>11</v>
      </c>
      <c r="C14" s="22" t="s">
        <v>10</v>
      </c>
      <c r="D14" s="22" t="s">
        <v>172</v>
      </c>
    </row>
    <row r="15" spans="2:4" x14ac:dyDescent="0.45">
      <c r="B15" s="21">
        <v>12</v>
      </c>
      <c r="C15" s="22" t="s">
        <v>11</v>
      </c>
      <c r="D15" s="22" t="s">
        <v>173</v>
      </c>
    </row>
    <row r="16" spans="2:4" ht="28.5" x14ac:dyDescent="0.45">
      <c r="B16" s="21">
        <v>13</v>
      </c>
      <c r="C16" s="22" t="s">
        <v>12</v>
      </c>
      <c r="D16" s="23" t="s">
        <v>174</v>
      </c>
    </row>
    <row r="17" spans="2:4" x14ac:dyDescent="0.45">
      <c r="B17" s="21">
        <v>14</v>
      </c>
      <c r="C17" s="22" t="s">
        <v>13</v>
      </c>
      <c r="D17" s="22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31C0539A70124D83FE27768DDE6687" ma:contentTypeVersion="11" ma:contentTypeDescription="Ein neues Dokument erstellen." ma:contentTypeScope="" ma:versionID="087d5e5cdd45b984b0e70884a7cd163a">
  <xsd:schema xmlns:xsd="http://www.w3.org/2001/XMLSchema" xmlns:xs="http://www.w3.org/2001/XMLSchema" xmlns:p="http://schemas.microsoft.com/office/2006/metadata/properties" xmlns:ns2="d375de34-27f2-44e1-9264-af9219470361" xmlns:ns3="e555c732-8e93-43cd-b8ff-027508ddf019" targetNamespace="http://schemas.microsoft.com/office/2006/metadata/properties" ma:root="true" ma:fieldsID="e52615c53f528013c902dbecc06dfcf7" ns2:_="" ns3:_="">
    <xsd:import namespace="d375de34-27f2-44e1-9264-af9219470361"/>
    <xsd:import namespace="e555c732-8e93-43cd-b8ff-027508ddf0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5de34-27f2-44e1-9264-af9219470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3f857fd-6730-400c-a7bb-5d6cb38ec3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5c732-8e93-43cd-b8ff-027508ddf0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d8a4d7-9e8f-473b-9b53-f59305d577f8}" ma:internalName="TaxCatchAll" ma:showField="CatchAllData" ma:web="e555c732-8e93-43cd-b8ff-027508ddf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5c732-8e93-43cd-b8ff-027508ddf019" xsi:nil="true"/>
    <lcf76f155ced4ddcb4097134ff3c332f xmlns="d375de34-27f2-44e1-9264-af921947036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E207BC-8183-49DB-ABCB-60B6A04C1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5de34-27f2-44e1-9264-af9219470361"/>
    <ds:schemaRef ds:uri="e555c732-8e93-43cd-b8ff-027508ddf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613FDB-B70B-4C9E-9156-3277845BBBD5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d375de34-27f2-44e1-9264-af9219470361"/>
    <ds:schemaRef ds:uri="http://schemas.microsoft.com/office/infopath/2007/PartnerControls"/>
    <ds:schemaRef ds:uri="e555c732-8e93-43cd-b8ff-027508ddf01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F5DB395-6E8D-4CF1-BA8D-A17723EE30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Bestellliste</vt:lpstr>
      <vt:lpstr>Übliche Händler</vt:lpstr>
      <vt:lpstr>Beispiel</vt:lpstr>
      <vt:lpstr>Beschreibung-Spalten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Windows-Benutzer</dc:creator>
  <cp:keywords/>
  <dc:description/>
  <cp:lastModifiedBy>Abdullah Hanifi</cp:lastModifiedBy>
  <cp:revision/>
  <dcterms:created xsi:type="dcterms:W3CDTF">2021-12-01T09:08:01Z</dcterms:created>
  <dcterms:modified xsi:type="dcterms:W3CDTF">2026-09-24T11:30:04Z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0x0101000D31C0539A70124D83FE27768DDE6687</vt:lpwstr>
  </property>
  <property fmtid="{D5CDD505-2E9C-101B-9397-08002B2CF9AE}" pid="3" name="MediaServiceImageTags">
    <vt:lpwstr/>
  </property>
</Properties>
</file>